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nspt.sharepoint.com/sites/acss/Documentos Partilhados/DPS/09_MCDT_precos-custeio/Convencionado/Tabela/2026.04/"/>
    </mc:Choice>
  </mc:AlternateContent>
  <xr:revisionPtr revIDLastSave="0" documentId="8_{7EB3ECA8-DA41-40E5-A669-7D2A0BA17FBA}" xr6:coauthVersionLast="47" xr6:coauthVersionMax="47" xr10:uidLastSave="{00000000-0000-0000-0000-000000000000}"/>
  <bookViews>
    <workbookView xWindow="-120" yWindow="-120" windowWidth="24240" windowHeight="13140" tabRatio="876" firstSheet="2" activeTab="5" xr2:uid="{00000000-000D-0000-FFFF-FFFF00000000}"/>
  </bookViews>
  <sheets>
    <sheet name="TaxaMod" sheetId="17" state="hidden" r:id="rId1"/>
    <sheet name="A-Análises prop09" sheetId="2" state="hidden" r:id="rId2"/>
    <sheet name="Rosto" sheetId="45" r:id="rId3"/>
    <sheet name="A-Análises Clínicas (Nova)" sheetId="29" r:id="rId4"/>
    <sheet name="B-Anatomia" sheetId="30" r:id="rId5"/>
    <sheet name="C-Cardiologia (Nova)" sheetId="31" r:id="rId6"/>
    <sheet name="D-M Nuclear" sheetId="32" r:id="rId7"/>
    <sheet name="E-EEG" sheetId="33" r:id="rId8"/>
    <sheet name="F-Gastrenterologia" sheetId="34" r:id="rId9"/>
    <sheet name="G-MFR" sheetId="35" r:id="rId10"/>
    <sheet name="H-ORL" sheetId="36" r:id="rId11"/>
    <sheet name="J-Urologia" sheetId="38" r:id="rId12"/>
    <sheet name="I-Pneumologia-Imunoalergologia" sheetId="37" r:id="rId13"/>
    <sheet name="L-Neurofisiologia" sheetId="40" r:id="rId14"/>
    <sheet name="Sheet1" sheetId="18" state="hidden" r:id="rId15"/>
    <sheet name="M-Radiologia (Nova)" sheetId="39" r:id="rId16"/>
    <sheet name="N-Consultas" sheetId="41" r:id="rId17"/>
    <sheet name="O-Psicologia" sheetId="42" r:id="rId18"/>
    <sheet name="Z-ExamesComuns" sheetId="43" r:id="rId19"/>
  </sheets>
  <definedNames>
    <definedName name="_xlnm.Print_Area" localSheetId="1">'A-Análises prop09'!$A$1:$E$586</definedName>
    <definedName name="_xlnm.Print_Titles" localSheetId="3">'A-Análises Clínicas (Nova)'!#REF!</definedName>
    <definedName name="_xlnm.Print_Titles" localSheetId="1">'A-Análises prop09'!$1:$4</definedName>
    <definedName name="_xlnm.Print_Titles" localSheetId="9">'G-MFR'!$1:$4</definedName>
    <definedName name="_xlnm.Print_Titles" localSheetId="10">'H-ORL'!$1:$4</definedName>
    <definedName name="_xlnm.Print_Titles" localSheetId="12">'I-Pneumologia-Imunoalergologia'!$1:$4</definedName>
    <definedName name="_xlnm.Print_Titles" localSheetId="15">'M-Radiologia (Nova)'!#REF!</definedName>
    <definedName name="_xlnm.Print_Titles" localSheetId="16">'N-Consultas'!$1:$3</definedName>
    <definedName name="_xlnm.Print_Titles" localSheetId="18">'Z-ExamesComuns'!$1:$4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3" i="18" l="1"/>
  <c r="H492" i="18"/>
  <c r="H491" i="18"/>
  <c r="H490" i="18"/>
  <c r="H489" i="18"/>
  <c r="H488" i="18"/>
  <c r="H487" i="18"/>
  <c r="H486" i="18"/>
  <c r="H485" i="18"/>
  <c r="H484" i="18"/>
  <c r="H483" i="18"/>
  <c r="H482" i="18"/>
  <c r="H481" i="18"/>
  <c r="H480" i="18"/>
  <c r="H479" i="18"/>
  <c r="H478" i="18"/>
  <c r="H477" i="18"/>
  <c r="H476" i="18"/>
  <c r="H475" i="18"/>
  <c r="H474" i="18"/>
  <c r="H473" i="18"/>
  <c r="H472" i="18"/>
  <c r="H471" i="18"/>
  <c r="H470" i="18"/>
  <c r="H469" i="18"/>
  <c r="H468" i="18"/>
  <c r="H467" i="18"/>
  <c r="H466" i="18"/>
  <c r="H465" i="18"/>
  <c r="H464" i="18"/>
  <c r="H463" i="18"/>
  <c r="H462" i="18"/>
  <c r="H461" i="18"/>
  <c r="H460" i="18"/>
  <c r="H459" i="18"/>
  <c r="H458" i="18"/>
  <c r="H457" i="18"/>
  <c r="H456" i="18"/>
  <c r="H455" i="18"/>
  <c r="H454" i="18"/>
  <c r="H453" i="18"/>
  <c r="H452" i="18"/>
  <c r="H451" i="18"/>
  <c r="H450" i="18"/>
  <c r="H449" i="18"/>
  <c r="H448" i="18"/>
  <c r="H447" i="18"/>
  <c r="H446" i="18"/>
  <c r="H445" i="18"/>
  <c r="H444" i="18"/>
  <c r="H443" i="18"/>
  <c r="H442" i="18"/>
  <c r="H441" i="18"/>
  <c r="H440" i="18"/>
  <c r="H439" i="18"/>
  <c r="H438" i="18"/>
  <c r="H437" i="18"/>
  <c r="H436" i="18"/>
  <c r="H435" i="18"/>
  <c r="H434" i="18"/>
  <c r="H433" i="18"/>
  <c r="H432" i="18"/>
  <c r="H431" i="18"/>
  <c r="H430" i="18"/>
  <c r="H429" i="18"/>
  <c r="H428" i="18"/>
  <c r="H427" i="18"/>
  <c r="H426" i="18"/>
  <c r="H425" i="18"/>
  <c r="H424" i="18"/>
  <c r="H423" i="18"/>
  <c r="H422" i="18"/>
  <c r="H421" i="18"/>
  <c r="H420" i="18"/>
  <c r="H419" i="18"/>
  <c r="H418" i="18"/>
  <c r="H417" i="18"/>
  <c r="H416" i="18"/>
  <c r="H415" i="18"/>
  <c r="H414" i="18"/>
  <c r="H413" i="18"/>
  <c r="H412" i="18"/>
  <c r="H411" i="18"/>
  <c r="H410" i="18"/>
  <c r="H409" i="18"/>
  <c r="H408" i="18"/>
  <c r="H407" i="18"/>
  <c r="H406" i="18"/>
  <c r="H405" i="18"/>
  <c r="H404" i="18"/>
  <c r="H403" i="18"/>
  <c r="H402" i="18"/>
  <c r="H401" i="18"/>
  <c r="H400" i="18"/>
  <c r="H399" i="18"/>
  <c r="H398" i="18"/>
  <c r="H397" i="18"/>
  <c r="H396" i="18"/>
  <c r="H395" i="18"/>
  <c r="H394" i="18"/>
  <c r="H393" i="18"/>
  <c r="H392" i="18"/>
  <c r="H391" i="18"/>
  <c r="H390" i="18"/>
  <c r="H389" i="18"/>
  <c r="H388" i="18"/>
  <c r="H387" i="18"/>
  <c r="H386" i="18"/>
  <c r="H385" i="18"/>
  <c r="H384" i="18"/>
  <c r="H383" i="18"/>
  <c r="H382" i="18"/>
  <c r="H381" i="18"/>
  <c r="H380" i="18"/>
  <c r="H379" i="18"/>
  <c r="H378" i="18"/>
  <c r="H377" i="18"/>
  <c r="H376" i="18"/>
  <c r="H375" i="18"/>
  <c r="H374" i="18"/>
  <c r="H373" i="18"/>
  <c r="H372" i="18"/>
  <c r="H371" i="18"/>
  <c r="H370" i="18"/>
  <c r="H369" i="18"/>
  <c r="H368" i="18"/>
  <c r="H367" i="18"/>
  <c r="H366" i="18"/>
  <c r="H365" i="18"/>
  <c r="H364" i="18"/>
  <c r="H363" i="18"/>
  <c r="H362" i="18"/>
  <c r="H361" i="18"/>
  <c r="H360" i="18"/>
  <c r="H359" i="18"/>
  <c r="H358" i="18"/>
  <c r="H357" i="18"/>
  <c r="H356" i="18"/>
  <c r="H355" i="18"/>
  <c r="H354" i="18"/>
  <c r="H353" i="18"/>
  <c r="H352" i="18"/>
  <c r="H351" i="18"/>
  <c r="H350" i="18"/>
  <c r="H349" i="18"/>
  <c r="H348" i="18"/>
  <c r="H347" i="18"/>
  <c r="H346" i="18"/>
  <c r="H345" i="18"/>
  <c r="H344" i="18"/>
  <c r="H343" i="18"/>
  <c r="H342" i="18"/>
  <c r="H341" i="18"/>
  <c r="H340" i="18"/>
  <c r="H339" i="18"/>
  <c r="H338" i="18"/>
  <c r="H337" i="18"/>
  <c r="H336" i="18"/>
  <c r="H335" i="18"/>
  <c r="H334" i="18"/>
  <c r="H333" i="18"/>
  <c r="H332" i="18"/>
  <c r="H331" i="18"/>
  <c r="H330" i="18"/>
  <c r="H329" i="18"/>
  <c r="H328" i="18"/>
  <c r="H327" i="18"/>
  <c r="H326" i="18"/>
  <c r="H325" i="18"/>
  <c r="H324" i="18"/>
  <c r="H323" i="18"/>
  <c r="H322" i="18"/>
  <c r="H321" i="18"/>
  <c r="H320" i="18"/>
  <c r="H319" i="18"/>
  <c r="H318" i="18"/>
  <c r="H317" i="18"/>
  <c r="H316" i="18"/>
  <c r="H315" i="18"/>
  <c r="H314" i="18"/>
  <c r="H313" i="18"/>
  <c r="H312" i="18"/>
  <c r="H311" i="18"/>
  <c r="H310" i="18"/>
  <c r="H309" i="18"/>
  <c r="H308" i="18"/>
  <c r="H307" i="18"/>
  <c r="H306" i="18"/>
  <c r="H305" i="18"/>
  <c r="H304" i="18"/>
  <c r="H303" i="18"/>
  <c r="H302" i="18"/>
  <c r="H301" i="18"/>
  <c r="H300" i="18"/>
  <c r="H299" i="18"/>
  <c r="H298" i="18"/>
  <c r="H297" i="18"/>
  <c r="H296" i="18"/>
  <c r="H295" i="18"/>
  <c r="H294" i="18"/>
  <c r="H293" i="18"/>
  <c r="H292" i="18"/>
  <c r="H291" i="18"/>
  <c r="H290" i="18"/>
  <c r="H289" i="18"/>
  <c r="H288" i="18"/>
  <c r="H287" i="18"/>
  <c r="H286" i="18"/>
  <c r="H285" i="18"/>
  <c r="H284" i="18"/>
  <c r="H283" i="18"/>
  <c r="H282" i="18"/>
  <c r="H281" i="18"/>
  <c r="H280" i="18"/>
  <c r="H279" i="18"/>
  <c r="H278" i="18"/>
  <c r="H277" i="18"/>
  <c r="H276" i="18"/>
  <c r="H275" i="18"/>
  <c r="H274" i="18"/>
  <c r="H273" i="18"/>
  <c r="H272" i="18"/>
  <c r="H271" i="18"/>
  <c r="H270" i="18"/>
  <c r="H269" i="18"/>
  <c r="H268" i="18"/>
  <c r="H267" i="18"/>
  <c r="H266" i="18"/>
  <c r="H265" i="18"/>
  <c r="H264" i="18"/>
  <c r="H263" i="18"/>
  <c r="H262" i="18"/>
  <c r="H261" i="18"/>
  <c r="H260" i="18"/>
  <c r="H259" i="18"/>
  <c r="H258" i="18"/>
  <c r="H257" i="18"/>
  <c r="H256" i="18"/>
  <c r="H255" i="18"/>
  <c r="H254" i="18"/>
  <c r="H253" i="18"/>
  <c r="H252" i="18"/>
  <c r="H251" i="18"/>
  <c r="H250" i="18"/>
  <c r="H249" i="18"/>
  <c r="H248" i="18"/>
  <c r="H247" i="18"/>
  <c r="H246" i="18"/>
  <c r="H245" i="18"/>
  <c r="H244" i="18"/>
  <c r="H243" i="18"/>
  <c r="H242" i="18"/>
  <c r="H241" i="18"/>
  <c r="H240" i="18"/>
  <c r="H239" i="18"/>
  <c r="H238" i="18"/>
  <c r="H237" i="18"/>
  <c r="H236" i="18"/>
  <c r="H235" i="18"/>
  <c r="H234" i="18"/>
  <c r="H233" i="18"/>
  <c r="H232" i="18"/>
  <c r="H231" i="18"/>
  <c r="H230" i="18"/>
  <c r="H229" i="18"/>
  <c r="H228" i="18"/>
  <c r="H227" i="18"/>
  <c r="H226" i="18"/>
  <c r="H225" i="18"/>
  <c r="H224" i="18"/>
  <c r="H223" i="18"/>
  <c r="H222" i="18"/>
  <c r="H221" i="18"/>
  <c r="H220" i="18"/>
  <c r="H219" i="18"/>
  <c r="H218" i="18"/>
  <c r="H217" i="18"/>
  <c r="H216" i="18"/>
  <c r="H215" i="18"/>
  <c r="H214" i="18"/>
  <c r="H213" i="18"/>
  <c r="H212" i="18"/>
  <c r="H211" i="18"/>
  <c r="H210" i="18"/>
  <c r="H209" i="18"/>
  <c r="H208" i="18"/>
  <c r="H207" i="18"/>
  <c r="H206" i="18"/>
  <c r="H205" i="18"/>
  <c r="H204" i="18"/>
  <c r="H203" i="18"/>
  <c r="H202" i="18"/>
  <c r="H201" i="18"/>
  <c r="H200" i="18"/>
  <c r="H199" i="18"/>
  <c r="H198" i="18"/>
  <c r="H197" i="18"/>
  <c r="H196" i="18"/>
  <c r="H195" i="18"/>
  <c r="H194" i="18"/>
  <c r="H193" i="18"/>
  <c r="H192" i="18"/>
  <c r="H191" i="18"/>
  <c r="H190" i="18"/>
  <c r="H189" i="18"/>
  <c r="H188" i="18"/>
  <c r="H187" i="18"/>
  <c r="H186" i="18"/>
  <c r="H185" i="18"/>
  <c r="H184" i="18"/>
  <c r="H183" i="18"/>
  <c r="H182" i="18"/>
  <c r="H181" i="18"/>
  <c r="H180" i="18"/>
  <c r="H179" i="18"/>
  <c r="H178" i="18"/>
  <c r="H177" i="18"/>
  <c r="H176" i="18"/>
  <c r="H175" i="18"/>
  <c r="H174" i="18"/>
  <c r="H173" i="18"/>
  <c r="H172" i="18"/>
  <c r="H171" i="18"/>
  <c r="H170" i="18"/>
  <c r="H169" i="18"/>
  <c r="H168" i="18"/>
  <c r="H167" i="18"/>
  <c r="H166" i="18"/>
  <c r="H165" i="18"/>
  <c r="H164" i="18"/>
  <c r="H163" i="18"/>
  <c r="H162" i="18"/>
  <c r="H161" i="18"/>
  <c r="H160" i="18"/>
  <c r="H159" i="18"/>
  <c r="H158" i="18"/>
  <c r="H157" i="18"/>
  <c r="H156" i="18"/>
  <c r="H155" i="18"/>
  <c r="H154" i="18"/>
  <c r="H153" i="18"/>
  <c r="H152" i="18"/>
  <c r="H151" i="18"/>
  <c r="H150" i="18"/>
  <c r="H149" i="18"/>
  <c r="H148" i="18"/>
  <c r="H147" i="18"/>
  <c r="H146" i="18"/>
  <c r="H145" i="18"/>
  <c r="H144" i="18"/>
  <c r="H143" i="18"/>
  <c r="H142" i="18"/>
  <c r="H141" i="18"/>
  <c r="H140" i="18"/>
  <c r="H139" i="18"/>
  <c r="H138" i="18"/>
  <c r="H137" i="18"/>
  <c r="H136" i="18"/>
  <c r="H135" i="18"/>
  <c r="H134" i="18"/>
  <c r="H133" i="18"/>
  <c r="H132" i="18"/>
  <c r="H131" i="18"/>
  <c r="H130" i="18"/>
  <c r="H129" i="18"/>
  <c r="H128" i="18"/>
  <c r="H127" i="18"/>
  <c r="H126" i="18"/>
  <c r="H125" i="18"/>
  <c r="H124" i="18"/>
  <c r="H123" i="18"/>
  <c r="H122" i="18"/>
  <c r="H121" i="18"/>
  <c r="H120" i="18"/>
  <c r="H119" i="18"/>
  <c r="H118" i="18"/>
  <c r="H117" i="18"/>
  <c r="H116" i="18"/>
  <c r="H115" i="18"/>
  <c r="H114" i="18"/>
  <c r="H113" i="18"/>
  <c r="H112" i="18"/>
  <c r="H111" i="18"/>
  <c r="H110" i="18"/>
  <c r="H109" i="18"/>
  <c r="H108" i="18"/>
  <c r="H107" i="18"/>
  <c r="H106" i="18"/>
  <c r="H105" i="18"/>
  <c r="H104" i="18"/>
  <c r="H103" i="18"/>
  <c r="H102" i="18"/>
  <c r="H101" i="18"/>
  <c r="H100" i="18"/>
  <c r="H99" i="18"/>
  <c r="H98" i="18"/>
  <c r="H97" i="18"/>
  <c r="H96" i="18"/>
  <c r="H95" i="18"/>
  <c r="H94" i="18"/>
  <c r="H93" i="18"/>
  <c r="H92" i="18"/>
  <c r="H91" i="18"/>
  <c r="H90" i="18"/>
  <c r="H89" i="18"/>
  <c r="H88" i="18"/>
  <c r="H87" i="18"/>
  <c r="H86" i="18"/>
  <c r="H85" i="18"/>
  <c r="H84" i="18"/>
  <c r="H83" i="18"/>
  <c r="H82" i="18"/>
  <c r="H81" i="18"/>
  <c r="H80" i="18"/>
  <c r="H79" i="18"/>
  <c r="H78" i="18"/>
  <c r="H77" i="18"/>
  <c r="H76" i="18"/>
  <c r="H75" i="18"/>
  <c r="H74" i="18"/>
  <c r="H73" i="18"/>
  <c r="H72" i="18"/>
  <c r="H71" i="18"/>
  <c r="H70" i="18"/>
  <c r="H69" i="18"/>
  <c r="H68" i="18"/>
  <c r="H67" i="18"/>
  <c r="H66" i="18"/>
  <c r="H65" i="18"/>
  <c r="H64" i="18"/>
  <c r="H63" i="18"/>
  <c r="H62" i="18"/>
  <c r="H61" i="18"/>
  <c r="H60" i="18"/>
  <c r="H59" i="18"/>
  <c r="H58" i="18"/>
  <c r="H57" i="18"/>
  <c r="H56" i="18"/>
  <c r="H55" i="18"/>
  <c r="H54" i="18"/>
  <c r="H53" i="18"/>
  <c r="H52" i="18"/>
  <c r="H51" i="18"/>
  <c r="H50" i="18"/>
  <c r="H49" i="18"/>
  <c r="H48" i="18"/>
  <c r="H47" i="18"/>
  <c r="H46" i="18"/>
  <c r="H45" i="18"/>
  <c r="H44" i="18"/>
  <c r="H43" i="18"/>
  <c r="H42" i="18"/>
  <c r="H41" i="18"/>
  <c r="H40" i="18"/>
  <c r="H39" i="18"/>
  <c r="H38" i="18"/>
  <c r="H37" i="18"/>
  <c r="H36" i="18"/>
  <c r="H35" i="18"/>
  <c r="H34" i="18"/>
  <c r="H33" i="18"/>
  <c r="H32" i="18"/>
  <c r="H31" i="18"/>
  <c r="H30" i="18"/>
  <c r="H29" i="18"/>
  <c r="H28" i="18"/>
  <c r="H27" i="18"/>
  <c r="H26" i="18"/>
  <c r="H25" i="18"/>
  <c r="H24" i="18"/>
  <c r="H23" i="18"/>
  <c r="H22" i="18"/>
  <c r="H21" i="18"/>
  <c r="H20" i="18"/>
  <c r="H19" i="18"/>
  <c r="H18" i="18"/>
  <c r="H17" i="18"/>
  <c r="H16" i="18"/>
  <c r="H15" i="18"/>
  <c r="H14" i="18"/>
  <c r="H13" i="18"/>
  <c r="H12" i="18"/>
  <c r="H11" i="18"/>
  <c r="H10" i="18"/>
  <c r="H9" i="18"/>
  <c r="H8" i="18"/>
  <c r="H7" i="18"/>
  <c r="H6" i="18"/>
  <c r="H5" i="18"/>
  <c r="H4" i="18"/>
  <c r="H3" i="18"/>
  <c r="H2" i="18"/>
  <c r="H1" i="18"/>
  <c r="G415" i="17" l="1"/>
  <c r="E415" i="17"/>
  <c r="D415" i="17"/>
  <c r="C415" i="17"/>
  <c r="G414" i="17"/>
  <c r="E414" i="17"/>
  <c r="D414" i="17"/>
  <c r="C414" i="17"/>
  <c r="A414" i="17"/>
</calcChain>
</file>

<file path=xl/sharedStrings.xml><?xml version="1.0" encoding="utf-8"?>
<sst xmlns="http://schemas.openxmlformats.org/spreadsheetml/2006/main" count="5104" uniqueCount="2998">
  <si>
    <t>Código</t>
  </si>
  <si>
    <t>DESIGNAÇÃO</t>
  </si>
  <si>
    <t>Taxa moder.(€) Portª338/92</t>
  </si>
  <si>
    <t>Taxa moder.(€) Portª103 /2004</t>
  </si>
  <si>
    <t>Taxa moder.(€) Portª219 /2006</t>
  </si>
  <si>
    <t>Taxa moder.(€) Portª395-A /2007</t>
  </si>
  <si>
    <t>Taxa moder.(€) Portª397/2007</t>
  </si>
  <si>
    <t>CONSULTAS</t>
  </si>
  <si>
    <t>Hospitais centrais</t>
  </si>
  <si>
    <t>Hospitais distritais</t>
  </si>
  <si>
    <t>Centros de saúde</t>
  </si>
  <si>
    <t>URGÊNCIA</t>
  </si>
  <si>
    <r>
      <t>Hospitais centrais</t>
    </r>
    <r>
      <rPr>
        <sz val="9"/>
        <color indexed="8"/>
        <rFont val="Arial"/>
        <family val="2"/>
      </rPr>
      <t/>
    </r>
  </si>
  <si>
    <t>INTERNAMENTO (taxa de utilização por dia de internamento nos 10 primeiros dias)</t>
  </si>
  <si>
    <t>-</t>
  </si>
  <si>
    <t>CIRURGIA DE AMBULATÓRIO</t>
  </si>
  <si>
    <t xml:space="preserve">SERVIÇO DOMICILIÁRIO </t>
  </si>
  <si>
    <t>ANATOMIA</t>
  </si>
  <si>
    <t xml:space="preserve">Histologia </t>
  </si>
  <si>
    <t>Citologia aspirativa</t>
  </si>
  <si>
    <t>Citologia esfoliativa</t>
  </si>
  <si>
    <t>CARDIOLOGIA</t>
  </si>
  <si>
    <t>Actos Terapêuticos</t>
  </si>
  <si>
    <t>Pacemaker</t>
  </si>
  <si>
    <t>Electrocardiologia</t>
  </si>
  <si>
    <t>ECG simples de 12 derivações</t>
  </si>
  <si>
    <t>Outros exames de Electrocardiologia</t>
  </si>
  <si>
    <t>Fluoroscopia</t>
  </si>
  <si>
    <t>Ecocardiografia</t>
  </si>
  <si>
    <t>Cateterismo cardíaco</t>
  </si>
  <si>
    <t>Estudos electrofisiológicos</t>
  </si>
  <si>
    <t>Outros estudos vasculares</t>
  </si>
  <si>
    <t>CIRURGIA MAXILO-FACIAL</t>
  </si>
  <si>
    <t>DERMATOLOGIA</t>
  </si>
  <si>
    <t>Exames de diagnóstico</t>
  </si>
  <si>
    <t>Exame por luz de Wood</t>
  </si>
  <si>
    <t>Dermatoscopia</t>
  </si>
  <si>
    <t>Outros exames de Diagnóstico</t>
  </si>
  <si>
    <t>Fotodermatologia</t>
  </si>
  <si>
    <t>Fotodermatologia - Procedimentos Diagnósticos</t>
  </si>
  <si>
    <t>Fotodermatologia - Procedimentos Terapêuticos</t>
  </si>
  <si>
    <t>Criocirurgia</t>
  </si>
  <si>
    <t>Radioterapia superficial</t>
  </si>
  <si>
    <t>Laserterapia</t>
  </si>
  <si>
    <t>Laserabrasão</t>
  </si>
  <si>
    <t>Outros tratamentos por laser</t>
  </si>
  <si>
    <t>Electrocirurgia</t>
  </si>
  <si>
    <t>Dermabrasão</t>
  </si>
  <si>
    <t>Iontoforese</t>
  </si>
  <si>
    <t>Excisão de lesões benignas (com  encerramento directo)</t>
  </si>
  <si>
    <t>Revisão de cicatrizes</t>
  </si>
  <si>
    <t>Biópsias</t>
  </si>
  <si>
    <t>Tratamento cirúrgico de unha incarnada</t>
  </si>
  <si>
    <t>Outros procedimentos de Dermatologia</t>
  </si>
  <si>
    <t>ESTOMATOLOGIA</t>
  </si>
  <si>
    <t>Enxerto gengival</t>
  </si>
  <si>
    <t>Incisão em cunha distal</t>
  </si>
  <si>
    <t xml:space="preserve">Aparelho fixo bimaxilar </t>
  </si>
  <si>
    <t xml:space="preserve">Prostodontia fixa, por elemento  </t>
  </si>
  <si>
    <t>Cirurgia Oral</t>
  </si>
  <si>
    <t>Apicectomia</t>
  </si>
  <si>
    <t xml:space="preserve">Implantes com anestesia local </t>
  </si>
  <si>
    <t>Exposição coronária para tracção ortodontica</t>
  </si>
  <si>
    <t>Amputação radicular</t>
  </si>
  <si>
    <t>Cirurgia oral - outros</t>
  </si>
  <si>
    <t>Outros tratamentos de Estomatologia</t>
  </si>
  <si>
    <t>GASTRENTEROLOGIA</t>
  </si>
  <si>
    <t>Técnicas endoscópicas - Diagnósticas</t>
  </si>
  <si>
    <t>Anuscopia</t>
  </si>
  <si>
    <t>Endoscopia através de cápsula</t>
  </si>
  <si>
    <t>Colangiopancreatografia retrógrada endoscópica (CPRE)</t>
  </si>
  <si>
    <t>Videocolonoscopia</t>
  </si>
  <si>
    <t>Colonoscopia</t>
  </si>
  <si>
    <t>Rectosigmoidoscopia</t>
  </si>
  <si>
    <t>Outras técnicas endoscópicas diagnósticas</t>
  </si>
  <si>
    <t>Técnicas endoscópicas - Complementares</t>
  </si>
  <si>
    <t>Ultrasonografia transendoscópica</t>
  </si>
  <si>
    <t>Coledecoscopia "per oral"</t>
  </si>
  <si>
    <t>Tratamento por laser</t>
  </si>
  <si>
    <t>Outras técnicas endoscópicas complementares</t>
  </si>
  <si>
    <t>Técnicas não endoscópicas - Diagnósticas</t>
  </si>
  <si>
    <t>Manometria esofágica (monitorização prolongada ambulatória)</t>
  </si>
  <si>
    <t>Paracentese diagnóstica</t>
  </si>
  <si>
    <t>Outras técnicas não endoscópicas diagnósticas</t>
  </si>
  <si>
    <t>Técnicas não endoscópicas - Terapêuticas</t>
  </si>
  <si>
    <t>Injecção toxina botulinica do canal anal</t>
  </si>
  <si>
    <t xml:space="preserve"> </t>
  </si>
  <si>
    <t xml:space="preserve">Litotrícia extra-corporal </t>
  </si>
  <si>
    <t>Intubação do tubo digestivo</t>
  </si>
  <si>
    <t>Outras técnicas não endoscópicas - Terapêuticas</t>
  </si>
  <si>
    <t>GENÉTICA</t>
  </si>
  <si>
    <t>Citogenética</t>
  </si>
  <si>
    <t>Culturas celulares</t>
  </si>
  <si>
    <t>Cariótipos</t>
  </si>
  <si>
    <t>Análises de biologia molecular</t>
  </si>
  <si>
    <t>Análise de fragmentos, cada reacção</t>
  </si>
  <si>
    <t>Outras análises de biologia molecular</t>
  </si>
  <si>
    <t>Estudos genéticos (abordagem nosológica)</t>
  </si>
  <si>
    <t>GINECOLOGIA</t>
  </si>
  <si>
    <t>Actos vulvo perineais</t>
  </si>
  <si>
    <t>Exames endoscópicos ginecológicos</t>
  </si>
  <si>
    <t>Histeroscopia cirúrgica</t>
  </si>
  <si>
    <t>Polipectomia do endométrio, via histeroscópica</t>
  </si>
  <si>
    <t>Miomectomia submucosa, via histeroscópica</t>
  </si>
  <si>
    <t>Outros exames endoscópicos ginecológicos</t>
  </si>
  <si>
    <t>Actos cirúrgicos simples ou múltiplos da vagina</t>
  </si>
  <si>
    <t>Actos não cirúrgicos simples da vagina</t>
  </si>
  <si>
    <t>Actos cirúrgicos do colo</t>
  </si>
  <si>
    <t>Actos cirúrgicos da cavidade uterina</t>
  </si>
  <si>
    <t>Biópsia do endométrio com biópsia endocervical, por aspiração tipo vabra</t>
  </si>
  <si>
    <t>Inserção ou remoção de DIU</t>
  </si>
  <si>
    <t>Outros actos cirúrgicos da cavidade uterina</t>
  </si>
  <si>
    <t>IMAGIOLOGIA</t>
  </si>
  <si>
    <t>Exames radiológicos</t>
  </si>
  <si>
    <t>Exames radiológicos com contraste</t>
  </si>
  <si>
    <t>Densitometria óssea</t>
  </si>
  <si>
    <t>Ecografia</t>
  </si>
  <si>
    <t>Estudos por doppler</t>
  </si>
  <si>
    <t>Tomografia computorizada (TC)</t>
  </si>
  <si>
    <t>Ressonância magnética</t>
  </si>
  <si>
    <t>Exames vasculares</t>
  </si>
  <si>
    <t>Radiologia de intervenção</t>
  </si>
  <si>
    <t>IMUNO-ALERGOLOGIA</t>
  </si>
  <si>
    <t>Provas de sensibilidade cutânea</t>
  </si>
  <si>
    <t>Provas de provocação oftálmica</t>
  </si>
  <si>
    <t>Provas de provocação nasal</t>
  </si>
  <si>
    <t>Provas de provocação oral</t>
  </si>
  <si>
    <t>Provas de avaliação da brocomotricidade</t>
  </si>
  <si>
    <t>Provas broncoconstrictoras por mecânica ventilatória</t>
  </si>
  <si>
    <t>Provas broncoconstrictoras por espirometria simples</t>
  </si>
  <si>
    <t>Outras provas de avaliação da broncomotricidade</t>
  </si>
  <si>
    <t>Imunoterapia</t>
  </si>
  <si>
    <t>Aplicação de extractos de aeroalergenos por método de "rush" - mínimo de 4 injecções em concentrações crescentes</t>
  </si>
  <si>
    <t>Outros actos de Imunoterapia</t>
  </si>
  <si>
    <t>Aerosol terapêutico</t>
  </si>
  <si>
    <t>IMUNO-HEMOTERAPIA</t>
  </si>
  <si>
    <t>Plasmaferese terapêutica</t>
  </si>
  <si>
    <t>Citaferese</t>
  </si>
  <si>
    <t>Aplicação de uma transfusão de sangue (unidade/sessão)</t>
  </si>
  <si>
    <t>Desleucocitação de uma "pool" de concentrados plaquetários.</t>
  </si>
  <si>
    <t>Desleucocitação de um concentrado eritrocitário</t>
  </si>
  <si>
    <t>Fenotipagem eritrocitária Rh</t>
  </si>
  <si>
    <t>Outras análises de imunohemoterapia</t>
  </si>
  <si>
    <t>MEDICINA FÍSICA E DE REABILITAÇÃO</t>
  </si>
  <si>
    <t>Técnicas diagnósticas</t>
  </si>
  <si>
    <t>Técnicas terapêuticas</t>
  </si>
  <si>
    <t>Infiltração muscular com toxina botulínica</t>
  </si>
  <si>
    <t>Outras técnicas terapêuticas</t>
  </si>
  <si>
    <t>MEDICINA NUCLEAR</t>
  </si>
  <si>
    <t>Absorção de vitamina B 12 (teste de Schilling)</t>
  </si>
  <si>
    <t>Cinética do ferro</t>
  </si>
  <si>
    <t>Cintigrafia cardíaca com 123 IMIBG</t>
  </si>
  <si>
    <t>Determinação da semivida dos eritrócitos</t>
  </si>
  <si>
    <t>Estudo do esvaziamento gástrico</t>
  </si>
  <si>
    <t>Linfocintigrafia</t>
  </si>
  <si>
    <t>Pesquisa de divertículo Meckel</t>
  </si>
  <si>
    <t>Pesquisa de hemorragia digestiva</t>
  </si>
  <si>
    <t>Renograma</t>
  </si>
  <si>
    <t xml:space="preserve">Tomografia cerebral </t>
  </si>
  <si>
    <t>Tomografia de emissão (SPECT) de qualquer órgão ou região</t>
  </si>
  <si>
    <t>Outros exames de Medicina Nuclear</t>
  </si>
  <si>
    <t>NEUROLOGIA/NEUROFISIOLOGIA</t>
  </si>
  <si>
    <t>Electroencefalografia</t>
  </si>
  <si>
    <t>Potenciais evocados</t>
  </si>
  <si>
    <t>Electromiografia</t>
  </si>
  <si>
    <t>Ultrassonografia</t>
  </si>
  <si>
    <t>Ultrassonografia simples</t>
  </si>
  <si>
    <t>Ultrassonografia com produto de contraste</t>
  </si>
  <si>
    <t>Neuropsicologia</t>
  </si>
  <si>
    <t>Avaliação Neuropsicológica</t>
  </si>
  <si>
    <t>Avaliação Neuropsicológica com estudos radiológicos</t>
  </si>
  <si>
    <t>Outros actos de Neurologia/Neurofisiologia</t>
  </si>
  <si>
    <t xml:space="preserve">OFTALMOLOGIA </t>
  </si>
  <si>
    <t>Terapia fotodinâmica macular</t>
  </si>
  <si>
    <t>Queratomileusis e fotoqueratotomia</t>
  </si>
  <si>
    <t>Fotoqueratotomia refractiva ou terapêutica</t>
  </si>
  <si>
    <t>Angiografia oftalmológica</t>
  </si>
  <si>
    <t>Fluorofotometria do segmento anterior ou posterior</t>
  </si>
  <si>
    <t>Laser Yag</t>
  </si>
  <si>
    <t xml:space="preserve">Fotocoagulação laser </t>
  </si>
  <si>
    <t>Exames electrofisiológicos</t>
  </si>
  <si>
    <t>Contactologia</t>
  </si>
  <si>
    <t>Exame oftalmológico completo sob anestesia geral, com ou sem manipulação do globo ocular, para diagnóstico inicial,relatório médico</t>
  </si>
  <si>
    <t>Subvisão</t>
  </si>
  <si>
    <t>Ecografia Oftálmica</t>
  </si>
  <si>
    <t>Campimetria</t>
  </si>
  <si>
    <t>Queratometria</t>
  </si>
  <si>
    <t>Sondagem das vias lacrimais ou extracção de corpo estranho ocular</t>
  </si>
  <si>
    <t>Gonioscopia</t>
  </si>
  <si>
    <t>Tratamento de ortóptica ou pleóptica</t>
  </si>
  <si>
    <t>Oftalmoscopia e oftalmodinamometria, relatório médico</t>
  </si>
  <si>
    <t>Outros exames oftalmológicos</t>
  </si>
  <si>
    <t>ORTOPEDIA</t>
  </si>
  <si>
    <t>Redução de fracturas e luxações</t>
  </si>
  <si>
    <t>Imobilizações/aplicação de aparelhos gessados ou ortopédicos</t>
  </si>
  <si>
    <t>Coluna vertebral com correcção de escoliose</t>
  </si>
  <si>
    <t>Gessos funcionais</t>
  </si>
  <si>
    <t>Aplicação de imobilizações gessadas na coluna vertebral</t>
  </si>
  <si>
    <t>Pelvi-podálico bilateral</t>
  </si>
  <si>
    <t>Pelvi-podálico unilateral</t>
  </si>
  <si>
    <t>Coxa, perna e pé</t>
  </si>
  <si>
    <t>Remoção de imobilizações gessadas</t>
  </si>
  <si>
    <t>Outras imobilizações/aplicações de aparelhos gessados ou ortopédicos</t>
  </si>
  <si>
    <t>Tratamentos da mão e do pé</t>
  </si>
  <si>
    <t>Aplicação de tracções</t>
  </si>
  <si>
    <t>Tracção esquelética craniana</t>
  </si>
  <si>
    <t>Tracção esquelética aos membros</t>
  </si>
  <si>
    <t>Tracção cutânea</t>
  </si>
  <si>
    <t>Tratamento de lesões tróficas do pé</t>
  </si>
  <si>
    <t>Outros actos de ortopedia</t>
  </si>
  <si>
    <t>OTORRINOLARINGOLOGIA</t>
  </si>
  <si>
    <t xml:space="preserve">Testes audiométricos </t>
  </si>
  <si>
    <t>Testes audiometricos electrofisiológicos</t>
  </si>
  <si>
    <t xml:space="preserve">Testes audiometricos </t>
  </si>
  <si>
    <t>Impedancimetria e provas suplementares de audiometria</t>
  </si>
  <si>
    <t>Testes da função vestibular</t>
  </si>
  <si>
    <t>Testes vestibulares suplementares</t>
  </si>
  <si>
    <t>Creaneocorpografia</t>
  </si>
  <si>
    <t>Posturografia dinâmica computorizada</t>
  </si>
  <si>
    <t>Tratamento optocinético (sessão)</t>
  </si>
  <si>
    <t>Endoscopia</t>
  </si>
  <si>
    <t>Serviços ORL especiais</t>
  </si>
  <si>
    <t>Avaliação foniátrica</t>
  </si>
  <si>
    <t>Terapia da fala</t>
  </si>
  <si>
    <t>Rinomanometria computorizada</t>
  </si>
  <si>
    <t>Electroneuronografia computorizada</t>
  </si>
  <si>
    <t>Outros actos de ORL</t>
  </si>
  <si>
    <t>Pele, anexos e partes moles</t>
  </si>
  <si>
    <t>Actos  de ORL, incluíndo prótese</t>
  </si>
  <si>
    <t>Actos simples de ORL (ex:remoção cerumem)</t>
  </si>
  <si>
    <t>Outros actos  de ORL</t>
  </si>
  <si>
    <t>PAT CLÍNICA</t>
  </si>
  <si>
    <t>BIOQUÍMICA</t>
  </si>
  <si>
    <t>Ácido fenilpirúvico, pesquisa, u</t>
  </si>
  <si>
    <t>Ácido úrico, s/u/L</t>
  </si>
  <si>
    <t>Albumina, s</t>
  </si>
  <si>
    <t>Aldolase, s</t>
  </si>
  <si>
    <t xml:space="preserve">Aminotransferase da alanina (ALT), s                     </t>
  </si>
  <si>
    <t xml:space="preserve">Aminotransferase do aspartato (AST), s                    </t>
  </si>
  <si>
    <t>Bilirrubina total e directa, s/l</t>
  </si>
  <si>
    <t>Bilirrubina total, s/l</t>
  </si>
  <si>
    <t>Bilirrubina, pesquisa, u/l</t>
  </si>
  <si>
    <t>Cálcio total, s/u</t>
  </si>
  <si>
    <t>Cistina, pesquisa, u</t>
  </si>
  <si>
    <t>Cloreto, s/u/l</t>
  </si>
  <si>
    <t>Colesterol da fracção HDL, s</t>
  </si>
  <si>
    <t>Colesterol total, s/l</t>
  </si>
  <si>
    <t>Corpos cetónicos, pesquisa, s/u</t>
  </si>
  <si>
    <t>Creatinaquinase (CK), s</t>
  </si>
  <si>
    <t>Creatinaquinase, isoenzimas MB, MM, cada, s</t>
  </si>
  <si>
    <t>Creatinina, s/u</t>
  </si>
  <si>
    <t>Densidade relativa, u/l</t>
  </si>
  <si>
    <t>Desidrogenase láctica (LDH), s/u/l</t>
  </si>
  <si>
    <t>Ferro, capacidade de fixação, s</t>
  </si>
  <si>
    <t>Ferro, s</t>
  </si>
  <si>
    <t>Fosfatase ácida total, s</t>
  </si>
  <si>
    <t>Fosfatase alcalina, s</t>
  </si>
  <si>
    <t>Fósforo inorgânico, s/u</t>
  </si>
  <si>
    <t>Frutosamina, s</t>
  </si>
  <si>
    <t>Glucose, doseamento, s/u/l</t>
  </si>
  <si>
    <t>Glucose, pesquisa, u</t>
  </si>
  <si>
    <t>Gonadotrofina coriónica (teste imunológico de gravidez), u</t>
  </si>
  <si>
    <t>Hemoglobina, pesquisa, u</t>
  </si>
  <si>
    <t>Ionograma (Na, K, Cl), s/u</t>
  </si>
  <si>
    <t>Lactose, pesquisa, u</t>
  </si>
  <si>
    <t>Lipase, s/u</t>
  </si>
  <si>
    <t>Magnésio, s/u</t>
  </si>
  <si>
    <t>5'-nucleotidase, s</t>
  </si>
  <si>
    <t>pH, l</t>
  </si>
  <si>
    <t>Pigmentos biliares, pesquisa, u</t>
  </si>
  <si>
    <t>Porfirinas, pesquisa, u</t>
  </si>
  <si>
    <t>Porfobilinogénio, pesquisa, u/fezes</t>
  </si>
  <si>
    <t>Potássio, s/u</t>
  </si>
  <si>
    <t>Proteínas (total) e electroforese,  s</t>
  </si>
  <si>
    <t>Proteínas (total), s/u/l</t>
  </si>
  <si>
    <t>Sódio, s/u</t>
  </si>
  <si>
    <t>Transferase da gamaglutamil</t>
  </si>
  <si>
    <t>Triglicéridos, s/u/l</t>
  </si>
  <si>
    <t xml:space="preserve">Ureia, s/u                                  </t>
  </si>
  <si>
    <t>Urina, análise microscópica do sedimento</t>
  </si>
  <si>
    <t>Urina, análise quantitativa do sedimento (contagem por minuto)</t>
  </si>
  <si>
    <t>Urina, análise sumária (inclui análise do sedimento)</t>
  </si>
  <si>
    <t>Urobilina, pesquisa, u</t>
  </si>
  <si>
    <t>Urobilinogénio, pesquisa, u</t>
  </si>
  <si>
    <t>Substâncias redutoras, pesquisa</t>
  </si>
  <si>
    <t>Sangue, pesquisa, suco gástrico ou duodenal</t>
  </si>
  <si>
    <t>Líquido sinovial, estudo morfológico</t>
  </si>
  <si>
    <t>Hemoglobina F, pesquisa (APT teste)</t>
  </si>
  <si>
    <t>Hemossiderina, pesquisa</t>
  </si>
  <si>
    <t>Colesterol da fracção LDL</t>
  </si>
  <si>
    <t>Amilase e amilase pancreática</t>
  </si>
  <si>
    <t>Outras análises bioquímicas</t>
  </si>
  <si>
    <t>HEMATOLOGIA</t>
  </si>
  <si>
    <t>Velocidade de sedimentação</t>
  </si>
  <si>
    <t>Outras análises de Hematologia</t>
  </si>
  <si>
    <t>HEMOSTASE</t>
  </si>
  <si>
    <t>IMUNOLOGIA</t>
  </si>
  <si>
    <t>Crioglobulinas, pesquisa</t>
  </si>
  <si>
    <t xml:space="preserve">Factor reumatóide (aglutinação)                     </t>
  </si>
  <si>
    <t>Análises por citometria de fluxo</t>
  </si>
  <si>
    <t>Outras análises de imunologia</t>
  </si>
  <si>
    <t>MICROBIOLOGIA</t>
  </si>
  <si>
    <t>Serologia</t>
  </si>
  <si>
    <t>RPR (Rapid Plasma Reagin)</t>
  </si>
  <si>
    <t>Título de anti-estreptolisina O</t>
  </si>
  <si>
    <t>Outras análises de Serologia</t>
  </si>
  <si>
    <t xml:space="preserve">Antigénios </t>
  </si>
  <si>
    <t>Bacteriologia</t>
  </si>
  <si>
    <t>Exame bacteriológico cultural, pesquisa do bacilo C. diphtheriae</t>
  </si>
  <si>
    <t>Exame directo a fresco</t>
  </si>
  <si>
    <t>Exame directo com coloração (Gram)</t>
  </si>
  <si>
    <t>Outras análises de Bacteriologia</t>
  </si>
  <si>
    <t>Micobactériologia</t>
  </si>
  <si>
    <t>Micologia</t>
  </si>
  <si>
    <t xml:space="preserve">Identificação de fungos leveduriformes (métodos manuais, microscópicos/outros)   </t>
  </si>
  <si>
    <t>Outras análises de Micologia</t>
  </si>
  <si>
    <t>Parasitologia</t>
  </si>
  <si>
    <t>Virologia</t>
  </si>
  <si>
    <t>PNEUMOLOGIA</t>
  </si>
  <si>
    <t>Provas de função respiratória</t>
  </si>
  <si>
    <t>Prova de broncoconstrição específica com alergénios</t>
  </si>
  <si>
    <t>Distensibilidade pulmonar (compliance)</t>
  </si>
  <si>
    <t>Saturação arterial em O2</t>
  </si>
  <si>
    <t>Determinação do CO no ar expirado</t>
  </si>
  <si>
    <t>Polissonografia e estudos polissonográficos</t>
  </si>
  <si>
    <t>Outras provas de função respiratória</t>
  </si>
  <si>
    <t>Técnicas especiais de diagnóstico e tratamento</t>
  </si>
  <si>
    <t>Aspirados, biópsias e escovados</t>
  </si>
  <si>
    <t>Cateterização transglótica</t>
  </si>
  <si>
    <r>
      <t xml:space="preserve">Terapia por LASER </t>
    </r>
    <r>
      <rPr>
        <strike/>
        <sz val="9"/>
        <color indexed="8"/>
        <rFont val="Times New Roman"/>
        <family val="1"/>
      </rPr>
      <t/>
    </r>
  </si>
  <si>
    <t>Aplicação de colas biológicas</t>
  </si>
  <si>
    <t>Lavagem pulmonar</t>
  </si>
  <si>
    <t>Toracoscopia</t>
  </si>
  <si>
    <t>Readaptação ao esforço</t>
  </si>
  <si>
    <t>Reabilitação respiratória</t>
  </si>
  <si>
    <t>Prova tuberculínica com leitura</t>
  </si>
  <si>
    <t>Outras técnicas especiais de diagnóstico e tratamento</t>
  </si>
  <si>
    <t>REUMATOLOGIA</t>
  </si>
  <si>
    <t>Aspiração de bolsas sinoviais</t>
  </si>
  <si>
    <t>Artrografia</t>
  </si>
  <si>
    <t>Viscossuplementação</t>
  </si>
  <si>
    <t>Artroclise</t>
  </si>
  <si>
    <t>Sinoviortese com ácido ósmico</t>
  </si>
  <si>
    <t>Outras técnicas de reumatologia</t>
  </si>
  <si>
    <t>UROLOGIA</t>
  </si>
  <si>
    <t>Litotrícia extra-corporal por ondas de choque</t>
  </si>
  <si>
    <t xml:space="preserve">Introdução de cateter uretérico ou "stent" através de trajecto de nefrostomia percutânea já estabelecida </t>
  </si>
  <si>
    <t>Biópsia</t>
  </si>
  <si>
    <t>Algaliação</t>
  </si>
  <si>
    <t>Incisão ou drenagem do pénis</t>
  </si>
  <si>
    <t>Meatotomia</t>
  </si>
  <si>
    <t>Plastia do freio</t>
  </si>
  <si>
    <t>Redução cirúrgica de parafimose</t>
  </si>
  <si>
    <t>Punção vesical com agulha</t>
  </si>
  <si>
    <t>Avaliação ecográfica de resíduo pós-miccional</t>
  </si>
  <si>
    <t>Urofluxometria</t>
  </si>
  <si>
    <t>Destruição de lesões do pénis por agentes químicos</t>
  </si>
  <si>
    <t>Punção de hidrocele</t>
  </si>
  <si>
    <t>Redução manual de parafimose</t>
  </si>
  <si>
    <t>Outros actos de Urologia</t>
  </si>
  <si>
    <t>Nº taxas existentes</t>
  </si>
  <si>
    <t>Valor médio (€)</t>
  </si>
  <si>
    <t xml:space="preserve">TABELA DA ÁREA A - ANÁLISES CLÍNICAS </t>
  </si>
  <si>
    <t>Códigos</t>
  </si>
  <si>
    <t>Nomenclatura comum OM/SNS/CONVENCIONADOS</t>
  </si>
  <si>
    <t>Preço 2009</t>
  </si>
  <si>
    <t>Taxa Mod.</t>
  </si>
  <si>
    <t>SNS</t>
  </si>
  <si>
    <t>Conv.</t>
  </si>
  <si>
    <t>311.5</t>
  </si>
  <si>
    <t xml:space="preserve">Acetilcolinesterase isoenzimas, s/l </t>
  </si>
  <si>
    <t>310.7</t>
  </si>
  <si>
    <t xml:space="preserve">Acetilcolinesterase, s/l </t>
  </si>
  <si>
    <t xml:space="preserve">Ácido acetoacético, pesquisa, s/u (ver código 21577 - Corpos cetónicos) </t>
  </si>
  <si>
    <t>501.0</t>
  </si>
  <si>
    <t xml:space="preserve">Ácido aminobutírico (GABA), s </t>
  </si>
  <si>
    <t>Ácido ascórbico, s/u/l (ver código 21053 - Vitamina C)</t>
  </si>
  <si>
    <t>323.9</t>
  </si>
  <si>
    <t xml:space="preserve">Ácido beta-hidroxibutírico (beta-hidroxibutirato), s </t>
  </si>
  <si>
    <t>325.5</t>
  </si>
  <si>
    <t xml:space="preserve">Ácido delta-aminolevulínico (ALA), u </t>
  </si>
  <si>
    <t>328.0</t>
  </si>
  <si>
    <t xml:space="preserve">Ácido fenilpirúvico, pesquisa, u </t>
  </si>
  <si>
    <t>329.8</t>
  </si>
  <si>
    <t xml:space="preserve">Ácido fólico (folatos), s </t>
  </si>
  <si>
    <t>651.3</t>
  </si>
  <si>
    <t>Ácido 5-hidroxindolacético (5 HIAA), doseamento, u</t>
  </si>
  <si>
    <t>332.8</t>
  </si>
  <si>
    <t xml:space="preserve">Ácido homogentísico, u </t>
  </si>
  <si>
    <t>652.1</t>
  </si>
  <si>
    <t>Ácido homovanílico (HVA), u</t>
  </si>
  <si>
    <t>Ácido láctico (ver código 22298 - Lactato)</t>
  </si>
  <si>
    <t>337.9</t>
  </si>
  <si>
    <t xml:space="preserve">Ácido siálico, s </t>
  </si>
  <si>
    <t>338.7</t>
  </si>
  <si>
    <t xml:space="preserve">Ácido úrico, s/u/l </t>
  </si>
  <si>
    <t>339.5</t>
  </si>
  <si>
    <t xml:space="preserve">Ácido valpróico (valproato), s </t>
  </si>
  <si>
    <t>653.0</t>
  </si>
  <si>
    <t xml:space="preserve">Ácido vanilmandélico (VMA), u </t>
  </si>
  <si>
    <t>1005.1</t>
  </si>
  <si>
    <t xml:space="preserve">Ácidos biliares, doseamento, s </t>
  </si>
  <si>
    <t>1006.0</t>
  </si>
  <si>
    <t xml:space="preserve">Ácidos gordos esterificados, s </t>
  </si>
  <si>
    <t>344.1</t>
  </si>
  <si>
    <t xml:space="preserve">Ácidos gordos não esterificados, s </t>
  </si>
  <si>
    <t>348.4</t>
  </si>
  <si>
    <t xml:space="preserve">Açúcares (cromatografia), u </t>
  </si>
  <si>
    <t>1007.8</t>
  </si>
  <si>
    <t xml:space="preserve">Adenosina 5-monofosfato (AMP-cíclico), s/u </t>
  </si>
  <si>
    <t>350.6</t>
  </si>
  <si>
    <t xml:space="preserve">Adenosina 5-trifosfato (ATP), s </t>
  </si>
  <si>
    <t>1008.6</t>
  </si>
  <si>
    <t xml:space="preserve">Albumina, s </t>
  </si>
  <si>
    <t>355.7</t>
  </si>
  <si>
    <t xml:space="preserve">Álcool etílico (etanol), s </t>
  </si>
  <si>
    <t>356.5</t>
  </si>
  <si>
    <t xml:space="preserve">Aldolase, s </t>
  </si>
  <si>
    <t>1009.4</t>
  </si>
  <si>
    <t xml:space="preserve">Aldosterona, s </t>
  </si>
  <si>
    <t>1010.8</t>
  </si>
  <si>
    <t>Aldosterona, u</t>
  </si>
  <si>
    <t>Alfa1 anti-tripsina (ver códigos 25083 e 25086 - Antitripsina alfa 1, tab. de Imunologia)</t>
  </si>
  <si>
    <t>359.0</t>
  </si>
  <si>
    <t xml:space="preserve">Alfa1-quimotripsina, s </t>
  </si>
  <si>
    <t>Alfa2-macroglobulina (ver código 25295 - Macroglobulina alfa-2, tab. de Imunologia)</t>
  </si>
  <si>
    <t>1011.6</t>
  </si>
  <si>
    <t xml:space="preserve">Alfa-fetoproteína, s/l </t>
  </si>
  <si>
    <t>684.0</t>
  </si>
  <si>
    <t xml:space="preserve">17 alfa-hidroxiprogesterona, s </t>
  </si>
  <si>
    <t>361.1</t>
  </si>
  <si>
    <t xml:space="preserve">Alumínio, s/l </t>
  </si>
  <si>
    <t>536.3</t>
  </si>
  <si>
    <t xml:space="preserve">Amilase, isoenzimas, s/l </t>
  </si>
  <si>
    <t>1012.4</t>
  </si>
  <si>
    <t xml:space="preserve">Amilase, s/u/l </t>
  </si>
  <si>
    <t>1014.0</t>
  </si>
  <si>
    <t xml:space="preserve">Aminoácidos, fraccionamento e quantificação cromatográfica, s/u/l </t>
  </si>
  <si>
    <t>1013.2</t>
  </si>
  <si>
    <t xml:space="preserve">Aminoácidos, pesquisa, u </t>
  </si>
  <si>
    <t>524.0</t>
  </si>
  <si>
    <t xml:space="preserve">Aminotransferase da alanina (ALT), s </t>
  </si>
  <si>
    <t>523.1</t>
  </si>
  <si>
    <t xml:space="preserve">Aminotransferase do aspartato (AST), s </t>
  </si>
  <si>
    <t>369.7</t>
  </si>
  <si>
    <t xml:space="preserve">Amónia, s </t>
  </si>
  <si>
    <t>1015.9</t>
  </si>
  <si>
    <t xml:space="preserve">Angiotensina I, s </t>
  </si>
  <si>
    <t>1016.7</t>
  </si>
  <si>
    <t xml:space="preserve">Angiotensina II, s </t>
  </si>
  <si>
    <t>202.0</t>
  </si>
  <si>
    <t xml:space="preserve">Antigénio carcinembrionário (CEA), s </t>
  </si>
  <si>
    <t>1018.3</t>
  </si>
  <si>
    <t>Antigénio específico da próstata (PSA) livre, s</t>
  </si>
  <si>
    <t>1017.5</t>
  </si>
  <si>
    <t xml:space="preserve">Antigénio específico da próstata (PSA) total, s </t>
  </si>
  <si>
    <t>1019.1</t>
  </si>
  <si>
    <t xml:space="preserve">Apolipoproteínas A1, A2, B e C, cada, s </t>
  </si>
  <si>
    <t>1020.5</t>
  </si>
  <si>
    <t xml:space="preserve">Aril-sulfatase A,B, cada, s </t>
  </si>
  <si>
    <t>383.2</t>
  </si>
  <si>
    <t xml:space="preserve">Beta2-microglobulina, s/u </t>
  </si>
  <si>
    <t>451.0</t>
  </si>
  <si>
    <t xml:space="preserve">Beta-galactosidase, s </t>
  </si>
  <si>
    <t>452.9</t>
  </si>
  <si>
    <t xml:space="preserve">Beta-glucosidase, s </t>
  </si>
  <si>
    <t>384.0</t>
  </si>
  <si>
    <t xml:space="preserve">Bicarbonato, s/l </t>
  </si>
  <si>
    <t>1021.3</t>
  </si>
  <si>
    <t xml:space="preserve">Bilirrubina total e directa, s/l </t>
  </si>
  <si>
    <t>386.7</t>
  </si>
  <si>
    <t xml:space="preserve">Bilirrubina total, s/l </t>
  </si>
  <si>
    <t>385.9</t>
  </si>
  <si>
    <t xml:space="preserve">Bilirrubina, pesquisa, u/l </t>
  </si>
  <si>
    <t>209.7</t>
  </si>
  <si>
    <t xml:space="preserve">CA 125 </t>
  </si>
  <si>
    <t>208.9</t>
  </si>
  <si>
    <t xml:space="preserve">CA 19-9 </t>
  </si>
  <si>
    <t>1022.1</t>
  </si>
  <si>
    <t xml:space="preserve">Cálcio ionizado, s </t>
  </si>
  <si>
    <t>390.5</t>
  </si>
  <si>
    <t xml:space="preserve">Cálcio total, s/u </t>
  </si>
  <si>
    <t>661.0</t>
  </si>
  <si>
    <t xml:space="preserve">Calcitonina, s </t>
  </si>
  <si>
    <t>1023.0</t>
  </si>
  <si>
    <t xml:space="preserve">Cálculo, exame químico </t>
  </si>
  <si>
    <t>396.4</t>
  </si>
  <si>
    <t xml:space="preserve">Carbamazepina, s </t>
  </si>
  <si>
    <t>571.9</t>
  </si>
  <si>
    <t xml:space="preserve">Carbamil transferase da Ornitina (OCT), s </t>
  </si>
  <si>
    <t>397.2</t>
  </si>
  <si>
    <t xml:space="preserve">Caroteno, s </t>
  </si>
  <si>
    <t>1024.8</t>
  </si>
  <si>
    <t xml:space="preserve">Catecolaminas, fracções (adrenalina, noradrenalina, dopamina), s </t>
  </si>
  <si>
    <t>663.7</t>
  </si>
  <si>
    <t xml:space="preserve">Catecolaminas, total, u </t>
  </si>
  <si>
    <t>CEA (ver código 21258 - Antigénio)</t>
  </si>
  <si>
    <t>Ceruloplasmina, s (ver código 25096 - Ceruloplasmina, tab. Imunologia)</t>
  </si>
  <si>
    <t>1025.6</t>
  </si>
  <si>
    <t xml:space="preserve">17-cetosteróides, u </t>
  </si>
  <si>
    <t>1026.4</t>
  </si>
  <si>
    <t>Chumbo, s/u</t>
  </si>
  <si>
    <t xml:space="preserve">Cianocobalamina, s (ver código 21458 - Vitamina B12) </t>
  </si>
  <si>
    <t>402.2</t>
  </si>
  <si>
    <t xml:space="preserve">Ciclosporina, s/l </t>
  </si>
  <si>
    <t>Cistina, doseamento, u (ver código 21207 - Aminoácidos)</t>
  </si>
  <si>
    <t>403.0</t>
  </si>
  <si>
    <t xml:space="preserve">Cistina, u </t>
  </si>
  <si>
    <t>405.7</t>
  </si>
  <si>
    <t xml:space="preserve">Clonazepam, s/u </t>
  </si>
  <si>
    <t>919.9</t>
  </si>
  <si>
    <t xml:space="preserve">Cloretos, estimulação por pilocarpina, suor </t>
  </si>
  <si>
    <t>1027.2</t>
  </si>
  <si>
    <t xml:space="preserve">Cloretos, s/u/l </t>
  </si>
  <si>
    <t>409.0</t>
  </si>
  <si>
    <t>Cobre, doseamento por absorção atómica, s/u/l/tecidos</t>
  </si>
  <si>
    <t>408.1</t>
  </si>
  <si>
    <t xml:space="preserve">Cobre, doseamento químico </t>
  </si>
  <si>
    <t>412.0</t>
  </si>
  <si>
    <t xml:space="preserve">Colesterol da fracção HDL, s </t>
  </si>
  <si>
    <t>1028.0</t>
  </si>
  <si>
    <t xml:space="preserve">Colesterol da fracção HDL2 e HDL3, s </t>
  </si>
  <si>
    <t>542.8</t>
  </si>
  <si>
    <t xml:space="preserve">Colesterol da fracção LDL, s </t>
  </si>
  <si>
    <t>415.4</t>
  </si>
  <si>
    <t xml:space="preserve">Colesterol da fracção VLDL, s </t>
  </si>
  <si>
    <t>1029.9</t>
  </si>
  <si>
    <t xml:space="preserve">Colesterol total, s/l </t>
  </si>
  <si>
    <t>417.0</t>
  </si>
  <si>
    <t xml:space="preserve">Colinesterases, cada, s </t>
  </si>
  <si>
    <t>1030.2</t>
  </si>
  <si>
    <t xml:space="preserve">Corpos cetónicos, pesquisa, s/u </t>
  </si>
  <si>
    <t>1032.9</t>
  </si>
  <si>
    <t>Cortisol, s</t>
  </si>
  <si>
    <t>1031.0</t>
  </si>
  <si>
    <t>Cortisol, saliva</t>
  </si>
  <si>
    <t>1033.7</t>
  </si>
  <si>
    <t xml:space="preserve">Cortisol, u </t>
  </si>
  <si>
    <t>426.0</t>
  </si>
  <si>
    <t xml:space="preserve">Creatina, u </t>
  </si>
  <si>
    <t>423.5</t>
  </si>
  <si>
    <t xml:space="preserve">Creatinaquinase (CK), s </t>
  </si>
  <si>
    <t>425.1</t>
  </si>
  <si>
    <t xml:space="preserve">Creatinaquinase, isoenzimas (electroforese), s </t>
  </si>
  <si>
    <t>424.3</t>
  </si>
  <si>
    <t xml:space="preserve">Creatinaquinase, isoenzimas MB, MM, cada, s </t>
  </si>
  <si>
    <t>428.6</t>
  </si>
  <si>
    <t xml:space="preserve">Creatinina, prova de depuração </t>
  </si>
  <si>
    <t>427.8</t>
  </si>
  <si>
    <t xml:space="preserve">Creatinina, s/u </t>
  </si>
  <si>
    <t>668.8</t>
  </si>
  <si>
    <t xml:space="preserve">Dehidroepiandrosterona (DHEA), s/u/l </t>
  </si>
  <si>
    <t>669.6</t>
  </si>
  <si>
    <t xml:space="preserve">Dehidroepiandrosterona sulfato (DHEA-S), s/l </t>
  </si>
  <si>
    <t>670.0</t>
  </si>
  <si>
    <t xml:space="preserve">Delta4-androstenediona, s </t>
  </si>
  <si>
    <t>430.8</t>
  </si>
  <si>
    <t xml:space="preserve">Desidrogenase alfa-hidroxibutírica (HBDH), s </t>
  </si>
  <si>
    <t xml:space="preserve">Desidrogenase da glucose-6-fosfato, s/eritrócitos (ver código 24163 - Glucose, tab. Hematologia) </t>
  </si>
  <si>
    <t>1037.0</t>
  </si>
  <si>
    <t xml:space="preserve">Desidrogenase láctica (LDH), isoenzimas, s </t>
  </si>
  <si>
    <t>1036.1</t>
  </si>
  <si>
    <t xml:space="preserve">Desidrogenase láctica (LDH), s/u/l </t>
  </si>
  <si>
    <t>666.1</t>
  </si>
  <si>
    <t xml:space="preserve">11-Desoxicortisol (composto S), s </t>
  </si>
  <si>
    <t>649.1</t>
  </si>
  <si>
    <t>Determinação da composição corporal por bioimpedância</t>
  </si>
  <si>
    <t>DIG (ver código 22114 - Gonadotrofina)</t>
  </si>
  <si>
    <t>462.6</t>
  </si>
  <si>
    <t xml:space="preserve">Digoxina, s </t>
  </si>
  <si>
    <t>445.6</t>
  </si>
  <si>
    <t xml:space="preserve">Dissacaridases, u </t>
  </si>
  <si>
    <t xml:space="preserve">Dopamina (ver código 21435 - Catecolaminas) </t>
  </si>
  <si>
    <t>1038.8</t>
  </si>
  <si>
    <t>Drogas de abuso, pesquisa, cada, s/u</t>
  </si>
  <si>
    <t>1039.6</t>
  </si>
  <si>
    <t>Drogas terapêuticas, outras, doseamento, cada, s</t>
  </si>
  <si>
    <t>606.8</t>
  </si>
  <si>
    <t>Enzima de conversão da Angiotensina (ECA), s/l</t>
  </si>
  <si>
    <t>1040.0</t>
  </si>
  <si>
    <t xml:space="preserve">Equilíbrio ácido-base (pH, pCO2, pO2, SatO2, CO2, ...), s </t>
  </si>
  <si>
    <t>673.4</t>
  </si>
  <si>
    <t xml:space="preserve">Eritropoietina, s </t>
  </si>
  <si>
    <t xml:space="preserve">Espermograma (ver código 21835 - Líquido seminal) </t>
  </si>
  <si>
    <t>1041.8</t>
  </si>
  <si>
    <t xml:space="preserve">Estradiol (17ß), E2, s </t>
  </si>
  <si>
    <t>677.7</t>
  </si>
  <si>
    <t xml:space="preserve">Estriol livre, E3l, s </t>
  </si>
  <si>
    <t>676.9</t>
  </si>
  <si>
    <t xml:space="preserve">Estriol total, E3t, s </t>
  </si>
  <si>
    <t>905.9</t>
  </si>
  <si>
    <t xml:space="preserve">Estudo espectrofotométrico do líquido amniótico </t>
  </si>
  <si>
    <t>Etanol (ver código 21145 - Álcool etílico)</t>
  </si>
  <si>
    <t>1044.2</t>
  </si>
  <si>
    <t xml:space="preserve">Fenilalanina, doseamento, s/u </t>
  </si>
  <si>
    <t>1043.4</t>
  </si>
  <si>
    <t xml:space="preserve">Fenilalanina, pesquisa, u </t>
  </si>
  <si>
    <t>533.9</t>
  </si>
  <si>
    <t xml:space="preserve">Fenitoína, s </t>
  </si>
  <si>
    <t>483.9</t>
  </si>
  <si>
    <t xml:space="preserve">Ferritina, s </t>
  </si>
  <si>
    <t>485.5</t>
  </si>
  <si>
    <t>Ferro, absorção atómica, tecidos</t>
  </si>
  <si>
    <t>486.3</t>
  </si>
  <si>
    <t xml:space="preserve">Ferro, capacidade de fixação, s </t>
  </si>
  <si>
    <t>484.7</t>
  </si>
  <si>
    <t xml:space="preserve">Ferro, s </t>
  </si>
  <si>
    <t>491.0</t>
  </si>
  <si>
    <t xml:space="preserve">Fosfatase ácida total, s </t>
  </si>
  <si>
    <t>1045.0</t>
  </si>
  <si>
    <t>Fosfatase ácida, fracção prostática (PAP), (mét. imunológico), s</t>
  </si>
  <si>
    <t>1046.9</t>
  </si>
  <si>
    <t xml:space="preserve">Fosfatase alcalina, isoenzimas, s </t>
  </si>
  <si>
    <t>493.6</t>
  </si>
  <si>
    <t xml:space="preserve">Fosfatase alcalina, s </t>
  </si>
  <si>
    <t>446.4</t>
  </si>
  <si>
    <t xml:space="preserve">Fosforilases, s </t>
  </si>
  <si>
    <t>499.5</t>
  </si>
  <si>
    <t xml:space="preserve">Fósforo inorgânico, s/u </t>
  </si>
  <si>
    <t>500.2</t>
  </si>
  <si>
    <t xml:space="preserve">Frutose, doseamento, s/u/l </t>
  </si>
  <si>
    <t>447.2</t>
  </si>
  <si>
    <t xml:space="preserve">Frutose-1,6-difosfatase, s </t>
  </si>
  <si>
    <t>448.0</t>
  </si>
  <si>
    <t xml:space="preserve">Frutose-1,6-difosfatase-aldolase, s </t>
  </si>
  <si>
    <t>460.0</t>
  </si>
  <si>
    <t xml:space="preserve">Galactoquinase, doseamento, eritrócitos </t>
  </si>
  <si>
    <t>503.7</t>
  </si>
  <si>
    <t xml:space="preserve">Galactose, doseamento, s/u </t>
  </si>
  <si>
    <t>502.9</t>
  </si>
  <si>
    <t xml:space="preserve">Galactose-1-fosfato-uridil transferase, doseamento, s </t>
  </si>
  <si>
    <t>507.0</t>
  </si>
  <si>
    <t>Gamaglutamil transferase (γGT)</t>
  </si>
  <si>
    <t>Gasometria (ver código 21789 - Equilíbrio ácido-base)</t>
  </si>
  <si>
    <t>680.7</t>
  </si>
  <si>
    <t xml:space="preserve">Gastrina, s </t>
  </si>
  <si>
    <t>723.4</t>
  </si>
  <si>
    <t xml:space="preserve">Globulina de transporte da tiroxina (TBG), s </t>
  </si>
  <si>
    <t>511.8</t>
  </si>
  <si>
    <t xml:space="preserve">Glucose, doseamento, s/u/l </t>
  </si>
  <si>
    <t>1047.7</t>
  </si>
  <si>
    <t xml:space="preserve">Glucose, pesquisa, u </t>
  </si>
  <si>
    <t>Glucose-6-fosfato-desidrogenase, s/eritrócitos (ver código 24163 - Glucose, tab. de Hematologia)</t>
  </si>
  <si>
    <t>519.3</t>
  </si>
  <si>
    <t xml:space="preserve">Glutamina, s/l </t>
  </si>
  <si>
    <t xml:space="preserve">Glutatião, s (ver tab. de Hematologia, 24064 - Enzimas) </t>
  </si>
  <si>
    <t>1049.3</t>
  </si>
  <si>
    <t xml:space="preserve">Gonadotrofina coriónica (HCG), s </t>
  </si>
  <si>
    <t>526.6</t>
  </si>
  <si>
    <t xml:space="preserve">Gonadotrofina coriónica (teste imunológico de gravidez), u </t>
  </si>
  <si>
    <t>660.2</t>
  </si>
  <si>
    <t xml:space="preserve">Gonadotrofina coriónica, subunidade Beta ( ß HCG), s </t>
  </si>
  <si>
    <t>525.8</t>
  </si>
  <si>
    <t xml:space="preserve">Grau de digestão de alimentos, fezes </t>
  </si>
  <si>
    <t xml:space="preserve">Haptoglobina, s (ver código - 24385 Haptoglobina, tab. Hematologia) </t>
  </si>
  <si>
    <t>531.2</t>
  </si>
  <si>
    <t>Hemoglobina A1c (glicada)</t>
  </si>
  <si>
    <t>529.0</t>
  </si>
  <si>
    <t xml:space="preserve">Hemoglobina, pesquisa, u </t>
  </si>
  <si>
    <t>454.5</t>
  </si>
  <si>
    <t xml:space="preserve">Hexosaminidase A, s </t>
  </si>
  <si>
    <t>455.3</t>
  </si>
  <si>
    <t xml:space="preserve">Hexosaminidase total, s </t>
  </si>
  <si>
    <t>1050.7</t>
  </si>
  <si>
    <t xml:space="preserve">17-hidroxicorticosteróides (17-OHCS), u </t>
  </si>
  <si>
    <t>682.3</t>
  </si>
  <si>
    <t xml:space="preserve">Hidroxiprolina total, u </t>
  </si>
  <si>
    <t>534.7</t>
  </si>
  <si>
    <t xml:space="preserve">Homocistina, pesquisa, u </t>
  </si>
  <si>
    <t>1051.5</t>
  </si>
  <si>
    <t xml:space="preserve">Hormona adrenocorticotrópica (ACTH), s </t>
  </si>
  <si>
    <t>730.7</t>
  </si>
  <si>
    <t xml:space="preserve">Hormona antidiurética (ADH), s </t>
  </si>
  <si>
    <t>716.1</t>
  </si>
  <si>
    <t xml:space="preserve">Hormona do crescimento (HGH), s </t>
  </si>
  <si>
    <t>681.5</t>
  </si>
  <si>
    <t xml:space="preserve">Hormona folículo-estimulante (FSH), s </t>
  </si>
  <si>
    <t>685.8</t>
  </si>
  <si>
    <t xml:space="preserve">Hormona lactogénica placentária (HPL), s </t>
  </si>
  <si>
    <t>686.6</t>
  </si>
  <si>
    <t xml:space="preserve">Hormona luteínica (LH), s </t>
  </si>
  <si>
    <t xml:space="preserve">Hormona luteínica, factor de libertação (LRH), s (ver código 22703 - Prova) </t>
  </si>
  <si>
    <t>692.0</t>
  </si>
  <si>
    <t xml:space="preserve">Hormona paratiroideia (PTH), s </t>
  </si>
  <si>
    <t>1053.1</t>
  </si>
  <si>
    <t xml:space="preserve">Hormona tirostimulante (TSH), s </t>
  </si>
  <si>
    <t>IGF1 (ver código 22795 - Somatomedina C)</t>
  </si>
  <si>
    <t>688.2</t>
  </si>
  <si>
    <t xml:space="preserve">Insulina, s </t>
  </si>
  <si>
    <t>Interleucinas (ver códigos 25281, 25564, 25565, tab. Imunologia)</t>
  </si>
  <si>
    <t>689.0</t>
  </si>
  <si>
    <t>Iodo, u</t>
  </si>
  <si>
    <t>535.5</t>
  </si>
  <si>
    <t>333.6</t>
  </si>
  <si>
    <t xml:space="preserve">Lactato (ácido láctico), s/l </t>
  </si>
  <si>
    <t>538.0</t>
  </si>
  <si>
    <t xml:space="preserve">Lactose, doseamento, u/l </t>
  </si>
  <si>
    <t>539.8</t>
  </si>
  <si>
    <t xml:space="preserve">Lactose, pesquisa, u </t>
  </si>
  <si>
    <t xml:space="preserve">L-dopa, s (ver código 22235 - Prova L-dopa) </t>
  </si>
  <si>
    <t>546.0</t>
  </si>
  <si>
    <t xml:space="preserve">Lidocaína, s </t>
  </si>
  <si>
    <t>547.9</t>
  </si>
  <si>
    <t xml:space="preserve">Lipase, s/u </t>
  </si>
  <si>
    <t>478.2</t>
  </si>
  <si>
    <t>Lípidos (ultracentrifugação), s</t>
  </si>
  <si>
    <t>522.3</t>
  </si>
  <si>
    <t xml:space="preserve">Lípidos, doseamento, fezes </t>
  </si>
  <si>
    <t>1055.8</t>
  </si>
  <si>
    <t xml:space="preserve">Lipoproteínas (electroforese), s </t>
  </si>
  <si>
    <t>1042.6</t>
  </si>
  <si>
    <t>Líquido seminal, estudo morfológico</t>
  </si>
  <si>
    <t>552.5</t>
  </si>
  <si>
    <t xml:space="preserve">Lítio, s </t>
  </si>
  <si>
    <t>553.3</t>
  </si>
  <si>
    <t xml:space="preserve">Magnésio, s/u </t>
  </si>
  <si>
    <t>557.6</t>
  </si>
  <si>
    <t xml:space="preserve">Mercúrio, doseamento, s/u </t>
  </si>
  <si>
    <t xml:space="preserve">Metahemoglobina, doseamento, s (ver código 24405 - Metahemoglobina, tab. Hematologia) </t>
  </si>
  <si>
    <t>1056.6</t>
  </si>
  <si>
    <t>Metais pesados (ex: arsénio, bismuto, bário, etc.), cada</t>
  </si>
  <si>
    <t>672.6</t>
  </si>
  <si>
    <t xml:space="preserve">Metanefrinas fraccionadas, s/u </t>
  </si>
  <si>
    <t>690.4</t>
  </si>
  <si>
    <t xml:space="preserve">Metanefrinas (total), s/u </t>
  </si>
  <si>
    <t>559.2</t>
  </si>
  <si>
    <t xml:space="preserve">Metotrexato, s </t>
  </si>
  <si>
    <t>560.6</t>
  </si>
  <si>
    <t xml:space="preserve">Micro-albuminúria </t>
  </si>
  <si>
    <t>106.6</t>
  </si>
  <si>
    <t xml:space="preserve">Mioglobina, s/u </t>
  </si>
  <si>
    <t>563.0</t>
  </si>
  <si>
    <t xml:space="preserve">Morfina, s/u </t>
  </si>
  <si>
    <t>477.4</t>
  </si>
  <si>
    <t xml:space="preserve">Mucopolissacáridos, doseamento, u </t>
  </si>
  <si>
    <t>569.0</t>
  </si>
  <si>
    <t xml:space="preserve">5'-nucleotidase, s </t>
  </si>
  <si>
    <t>1057.4</t>
  </si>
  <si>
    <t>Oligoelementos não discriminados (ex: zinco, cobre, ouro, etc.) cada</t>
  </si>
  <si>
    <t>572.0</t>
  </si>
  <si>
    <t xml:space="preserve">Osmolalidade, s/u/l </t>
  </si>
  <si>
    <t>573.8</t>
  </si>
  <si>
    <t xml:space="preserve">Oxalatos, u </t>
  </si>
  <si>
    <t>577.0</t>
  </si>
  <si>
    <t xml:space="preserve">Peptídeo C, s/u </t>
  </si>
  <si>
    <t>439.1</t>
  </si>
  <si>
    <t xml:space="preserve">pH, l </t>
  </si>
  <si>
    <t>336.0</t>
  </si>
  <si>
    <t>Piruvato, s/u/l</t>
  </si>
  <si>
    <t>631.9</t>
  </si>
  <si>
    <t>Porfirinas, doseamento, u</t>
  </si>
  <si>
    <t>1059.0</t>
  </si>
  <si>
    <t>Porfirinas, fracções, fezes</t>
  </si>
  <si>
    <t>1058.2</t>
  </si>
  <si>
    <t>589.4</t>
  </si>
  <si>
    <t xml:space="preserve">Porfobilinogénio, doseamento, s/u/fezes </t>
  </si>
  <si>
    <t>590.8</t>
  </si>
  <si>
    <t xml:space="preserve">Porfobilinogénio, pesquisa, u/fezes </t>
  </si>
  <si>
    <t>591.6</t>
  </si>
  <si>
    <t xml:space="preserve">Potássio, s/u </t>
  </si>
  <si>
    <t>693.9</t>
  </si>
  <si>
    <t xml:space="preserve">Pregnanediol, u </t>
  </si>
  <si>
    <t>1060.4</t>
  </si>
  <si>
    <t xml:space="preserve">Pregnanetriol, u </t>
  </si>
  <si>
    <t>696.3</t>
  </si>
  <si>
    <t xml:space="preserve">Progesterona (PRG), s </t>
  </si>
  <si>
    <t>697.1</t>
  </si>
  <si>
    <t xml:space="preserve">Prolactina (PRL), s </t>
  </si>
  <si>
    <t>292.5</t>
  </si>
  <si>
    <t>Proteína C reactiva Ultra sensível, s</t>
  </si>
  <si>
    <t>291.7</t>
  </si>
  <si>
    <t>Proteína C reactiva, s</t>
  </si>
  <si>
    <t>715.3</t>
  </si>
  <si>
    <t xml:space="preserve">Proteína de transporte das hormonas sexuais (SHBG), s </t>
  </si>
  <si>
    <t>471.5</t>
  </si>
  <si>
    <t xml:space="preserve">Proteínas (total) e electroforese após concentração, u/l </t>
  </si>
  <si>
    <t>470.7</t>
  </si>
  <si>
    <t xml:space="preserve">Proteínas (total) e electroforese, s </t>
  </si>
  <si>
    <t>596.7</t>
  </si>
  <si>
    <t xml:space="preserve">Proteínas (total), s/u/l </t>
  </si>
  <si>
    <t>598.3</t>
  </si>
  <si>
    <t xml:space="preserve">Protoporfirinas, eritrócitos/fezes </t>
  </si>
  <si>
    <t>1061.2</t>
  </si>
  <si>
    <t xml:space="preserve">Prova de clomnifene, cada doseamento LH, FSH, estradiol e testosterona    </t>
  </si>
  <si>
    <t>1065.5</t>
  </si>
  <si>
    <t xml:space="preserve">Prova de concentração ou diluição de urina </t>
  </si>
  <si>
    <t>639.4</t>
  </si>
  <si>
    <t xml:space="preserve">Prova de D - Xilose, s/u </t>
  </si>
  <si>
    <t>1062.0</t>
  </si>
  <si>
    <t xml:space="preserve">Prova de estimulação com LHRH, cada doseamento de FSH e de LH           </t>
  </si>
  <si>
    <t>1054.0</t>
  </si>
  <si>
    <t xml:space="preserve">Prova de estimulação com TRH, hormona tiroestimulante (TSH), cada doseamento       </t>
  </si>
  <si>
    <t>1035.3</t>
  </si>
  <si>
    <t xml:space="preserve">Prova de estimulação por ACTH depósito, cada doseamento   </t>
  </si>
  <si>
    <t>1034.5</t>
  </si>
  <si>
    <t xml:space="preserve">Prova de estimulação por ACTH simples, cada doseamento   </t>
  </si>
  <si>
    <t>1063.9</t>
  </si>
  <si>
    <t xml:space="preserve">Prova de gonadotrofina coriónica, cada doseamento de FSH e de LH   </t>
  </si>
  <si>
    <t>706.4</t>
  </si>
  <si>
    <t>Prova de hipoglicémia com administração insulina I.V., cada doseamento</t>
  </si>
  <si>
    <t>701.3</t>
  </si>
  <si>
    <t xml:space="preserve">Prova de metapirona, cada doseamento  </t>
  </si>
  <si>
    <t>703.0</t>
  </si>
  <si>
    <t xml:space="preserve">Prova de sobrecarga glucídica,cada doseamento de glucose e de HGH   </t>
  </si>
  <si>
    <t>505.3</t>
  </si>
  <si>
    <t xml:space="preserve">Prova de tolerância à galactose, cada doseamento  </t>
  </si>
  <si>
    <t>710.2</t>
  </si>
  <si>
    <t xml:space="preserve">Prova de tolerância à glucose, doseamentos de insulina e glucose, cada doseamento         </t>
  </si>
  <si>
    <t>705.6</t>
  </si>
  <si>
    <t xml:space="preserve">Prova de tolerância do Glucagon, com doseamentos glucose, insulina, peptido C, cada doseamento  </t>
  </si>
  <si>
    <t>1052.3</t>
  </si>
  <si>
    <t xml:space="preserve">Prova L-dopa (com ou sem propanolol), hormona do crescimento (HGH), cada doseamento  </t>
  </si>
  <si>
    <t>704.8</t>
  </si>
  <si>
    <t xml:space="preserve">Prova múltipla paraTRH, LHRH e hipoglicémia, cada doseamento  </t>
  </si>
  <si>
    <t>1048.5</t>
  </si>
  <si>
    <t xml:space="preserve">Prova tolerância à glucose, cada doseamento              </t>
  </si>
  <si>
    <t>713.7</t>
  </si>
  <si>
    <t xml:space="preserve">Renina, s </t>
  </si>
  <si>
    <t>607.6</t>
  </si>
  <si>
    <t>Sangue oculto nas fezes, fezes</t>
  </si>
  <si>
    <t>609.2</t>
  </si>
  <si>
    <t>Selénio, s/u</t>
  </si>
  <si>
    <t>714.5</t>
  </si>
  <si>
    <t xml:space="preserve">Serotonina, u </t>
  </si>
  <si>
    <t>616.5</t>
  </si>
  <si>
    <t xml:space="preserve">Sódio, s/u </t>
  </si>
  <si>
    <t>729.3</t>
  </si>
  <si>
    <t>Somatomedina C</t>
  </si>
  <si>
    <t>Suor, Prova de (ver código 21516 - Cloretos)</t>
  </si>
  <si>
    <t>TBG (ver código 22050 - Globulina)</t>
  </si>
  <si>
    <t>368.9</t>
  </si>
  <si>
    <t xml:space="preserve">Teofilina/aminofilina, s </t>
  </si>
  <si>
    <t>725.0</t>
  </si>
  <si>
    <t xml:space="preserve">Testosterona livre, s </t>
  </si>
  <si>
    <t>724.2</t>
  </si>
  <si>
    <t xml:space="preserve">Testosterona total, s </t>
  </si>
  <si>
    <t>726.9</t>
  </si>
  <si>
    <t xml:space="preserve">Tetrahidrocortisol (TH-S), s </t>
  </si>
  <si>
    <t>TIG (ver código 22114 - Gonadotrofina)</t>
  </si>
  <si>
    <t>727.7</t>
  </si>
  <si>
    <t xml:space="preserve">Tiroglobulina, s </t>
  </si>
  <si>
    <t>721.8</t>
  </si>
  <si>
    <t xml:space="preserve">Tiroxina livre (FT4), s </t>
  </si>
  <si>
    <t>720.0</t>
  </si>
  <si>
    <t xml:space="preserve">Tiroxina total (T4), s </t>
  </si>
  <si>
    <t>619.0</t>
  </si>
  <si>
    <t>Transferrina, s</t>
  </si>
  <si>
    <t>620.3</t>
  </si>
  <si>
    <t xml:space="preserve">Triglicéridos, s/u/l </t>
  </si>
  <si>
    <t>718.8</t>
  </si>
  <si>
    <t xml:space="preserve">Triiodotironina livre (FT3), s </t>
  </si>
  <si>
    <t>717.0</t>
  </si>
  <si>
    <t xml:space="preserve">Triiodotironina total (T3), s </t>
  </si>
  <si>
    <t>625.4</t>
  </si>
  <si>
    <t xml:space="preserve">Ureia, s/u </t>
  </si>
  <si>
    <t>608.4</t>
  </si>
  <si>
    <t xml:space="preserve">Urina, análise microscópica do sedimento </t>
  </si>
  <si>
    <t>1064.7</t>
  </si>
  <si>
    <t xml:space="preserve">Urina, análise quantitativa do sedimento (contagem por minuto) </t>
  </si>
  <si>
    <t>627.0</t>
  </si>
  <si>
    <t>629.7</t>
  </si>
  <si>
    <t xml:space="preserve">Urobilina, pesquisa, u </t>
  </si>
  <si>
    <t>630.0</t>
  </si>
  <si>
    <t xml:space="preserve">Urobilinogénio, pesquisa, u </t>
  </si>
  <si>
    <t xml:space="preserve">Uroporfirinas fraccionadas, fezes (ver código 22609 - Porfirinas) </t>
  </si>
  <si>
    <t xml:space="preserve">Uroporfirinas fraccionadas, u (ver código 22609 - Porfirinas) </t>
  </si>
  <si>
    <t>Vasopressina (ver código 22223 -Hormona)</t>
  </si>
  <si>
    <t>633.5</t>
  </si>
  <si>
    <t xml:space="preserve">Vitamina A (retinol), s </t>
  </si>
  <si>
    <t>634.3</t>
  </si>
  <si>
    <t>Vitamina B12 (cianocobalamina)</t>
  </si>
  <si>
    <t>317.4</t>
  </si>
  <si>
    <t>Vitamina C (ácido ascórbico), s/u/l</t>
  </si>
  <si>
    <t>BIOQUÍMICA GENÉTICA</t>
  </si>
  <si>
    <t>347.6</t>
  </si>
  <si>
    <t>Ácidos orgânicos (análise por cromatografia gasosa acoplada a espectrometria de massa), u/s/l</t>
  </si>
  <si>
    <t>1001.9</t>
  </si>
  <si>
    <t>Alfa-fucosidase células</t>
  </si>
  <si>
    <t>1002.7</t>
  </si>
  <si>
    <t>Alfa-fucosidase plasma</t>
  </si>
  <si>
    <t>456.1</t>
  </si>
  <si>
    <t>Alfa-iduronidase</t>
  </si>
  <si>
    <t>1003.5</t>
  </si>
  <si>
    <t>Alfa-manosidase células</t>
  </si>
  <si>
    <t>1004.3</t>
  </si>
  <si>
    <t>Alfa-manosidase plasma</t>
  </si>
  <si>
    <t>467.7</t>
  </si>
  <si>
    <t>Glicogénio hepático ou muscular</t>
  </si>
  <si>
    <t>481.2</t>
  </si>
  <si>
    <t>Rastreio neonatal de fenilcetonúria e hipotiridismo congénito (diagnóstico precoce), sangue em papel de filtro</t>
  </si>
  <si>
    <t>Teste de Beutler (ver tabela de Bioquímica, código 22020 - Galactose)</t>
  </si>
  <si>
    <t>722.6</t>
  </si>
  <si>
    <t xml:space="preserve">Tiroxina total (T4), sangue em papel </t>
  </si>
  <si>
    <t>570.3</t>
  </si>
  <si>
    <t>TLC oligossacaridos</t>
  </si>
  <si>
    <t>001.9</t>
  </si>
  <si>
    <t>Adenograma</t>
  </si>
  <si>
    <t>022.1</t>
  </si>
  <si>
    <t>Auto-hemólise eritrocitária, s</t>
  </si>
  <si>
    <t>086.8</t>
  </si>
  <si>
    <t>Cadeias da globina, electroforese (cada tipo), s</t>
  </si>
  <si>
    <t>025.6</t>
  </si>
  <si>
    <t>Teste de falciformação, s</t>
  </si>
  <si>
    <t>1083.3</t>
  </si>
  <si>
    <t>Coloração naftil AS-D acetato esterase (NASDA) sem fluor, s/medula</t>
  </si>
  <si>
    <t>109.0</t>
  </si>
  <si>
    <t>Coloração naftil AS-D acetato esterase (NASDA) com inibição pelo fluoreto, s/medula</t>
  </si>
  <si>
    <t>1084.1</t>
  </si>
  <si>
    <t xml:space="preserve">Coloração α-naftil acetato esterase (ANAE) sem fluor, s/medula </t>
  </si>
  <si>
    <t>1085.0</t>
  </si>
  <si>
    <t xml:space="preserve">Coloração, esterases, outras (cada tipo), s/medula </t>
  </si>
  <si>
    <t>094.9</t>
  </si>
  <si>
    <t xml:space="preserve">Coloração, ferro (Perls), s/medula </t>
  </si>
  <si>
    <t>1075.2</t>
  </si>
  <si>
    <t xml:space="preserve">Coloração, fosfatase ácida, com ácido tartárico, s/ medula </t>
  </si>
  <si>
    <t>1074.4</t>
  </si>
  <si>
    <t>Coloração, fosfatase ácida, s/medula</t>
  </si>
  <si>
    <t>068.0</t>
  </si>
  <si>
    <t xml:space="preserve">Coloração, fosfatase alcalina leucocitária, s </t>
  </si>
  <si>
    <t>112.0</t>
  </si>
  <si>
    <t xml:space="preserve">Coloração, mieloperoxidase, s/medula </t>
  </si>
  <si>
    <t>111.2</t>
  </si>
  <si>
    <t xml:space="preserve">Coloração, PAS, s/medula </t>
  </si>
  <si>
    <t>141.4</t>
  </si>
  <si>
    <t xml:space="preserve">Coloração, Sudão, s/medula </t>
  </si>
  <si>
    <t>Contagem de plaquetas, s (ver código 24208 - Hemograma)</t>
  </si>
  <si>
    <t>030.2</t>
  </si>
  <si>
    <t xml:space="preserve">Corpos de Heinz, pesquisa, s </t>
  </si>
  <si>
    <t>037.0</t>
  </si>
  <si>
    <t>Electroforese das hemoglobinas, (pH alcalino - cada tipo), s</t>
  </si>
  <si>
    <t>1072.8</t>
  </si>
  <si>
    <t>Enzimas eritrocitários, outros, doseamento, cada, s</t>
  </si>
  <si>
    <t xml:space="preserve">Eritrograma (eritrócitos, hemoglobina, hematócrito e índices), s (ver código 24208 - Hemograma) </t>
  </si>
  <si>
    <t>043.4</t>
  </si>
  <si>
    <t>Esplenograma, baço</t>
  </si>
  <si>
    <t>098.1</t>
  </si>
  <si>
    <t xml:space="preserve">Estudo morfológico do sangue periférico após enriquecimento, s </t>
  </si>
  <si>
    <t>1077.9</t>
  </si>
  <si>
    <t xml:space="preserve">Fragilidade osmótica dos eritrócitos, após incubação, s </t>
  </si>
  <si>
    <t>1076.0</t>
  </si>
  <si>
    <t xml:space="preserve">Fragilidade osmótica dos eritrócitos, imediata, s </t>
  </si>
  <si>
    <t>1079.5</t>
  </si>
  <si>
    <t xml:space="preserve">Glucose-6-fosfato-desidrogenase (G6PD), eritrócitos, doseamento, s </t>
  </si>
  <si>
    <t>1078.7</t>
  </si>
  <si>
    <t xml:space="preserve">Glucose-6-fosfato-desidrogenase (G6PD), eritrócitos, rastreio, s </t>
  </si>
  <si>
    <t>527.4</t>
  </si>
  <si>
    <t>Haptoglobina, s</t>
  </si>
  <si>
    <t>084.1</t>
  </si>
  <si>
    <t>Hemoglobina A2, doseamento, (Microcolunas),s</t>
  </si>
  <si>
    <t xml:space="preserve">Hemoglobina e hematócrito, s (ver código 24208 - Hemograma) </t>
  </si>
  <si>
    <t>085.0</t>
  </si>
  <si>
    <t xml:space="preserve">Hemoglobina F, doseamento, s </t>
  </si>
  <si>
    <t>088.4</t>
  </si>
  <si>
    <t>Hemoglobina H rastreio, s</t>
  </si>
  <si>
    <t>091.4</t>
  </si>
  <si>
    <t xml:space="preserve">Hemoglobina S, prova de solubilidade, s </t>
  </si>
  <si>
    <t>090.6</t>
  </si>
  <si>
    <t>Hemoglobinas anormais (S ou outras), doseamento, s</t>
  </si>
  <si>
    <t>031.0</t>
  </si>
  <si>
    <t>Azul brilhante de cresil, s</t>
  </si>
  <si>
    <t>1092.2</t>
  </si>
  <si>
    <t xml:space="preserve">Hemoglobinas instáveis, rastreio - prova da instabilidade ao calor, s </t>
  </si>
  <si>
    <t>1091.4</t>
  </si>
  <si>
    <t xml:space="preserve">Hemoglobinas instáveis, rastreio - prova de precipitação pelo isopropanol, s </t>
  </si>
  <si>
    <t>089.2</t>
  </si>
  <si>
    <t xml:space="preserve">Hemoglobinémia (hemoglobina plasmática), s </t>
  </si>
  <si>
    <t>1080.9</t>
  </si>
  <si>
    <t>Hemograma com fórmula leucocitária (eritrograma, contagem de leucócitos, contagem de plaquetas, fórmula leucocitária e morfologia), s</t>
  </si>
  <si>
    <t xml:space="preserve">Hemograma completo, s (ver código 24209 - Hemograma) </t>
  </si>
  <si>
    <t>093.0</t>
  </si>
  <si>
    <t>Hemograma sem fórmula leucocitária (eritrograma, contagem de leucócitos, contagem de plaquetas), s</t>
  </si>
  <si>
    <t xml:space="preserve">Leucograma (leucócitos, fórmula leucocitária, morfologia), s (ver código 24209 - Hemograma) </t>
  </si>
  <si>
    <t>1089.2</t>
  </si>
  <si>
    <t>Líquidos biológicos (LCR, pleural, ascítico, peritoneal, sinovial, outros) , exame citológico</t>
  </si>
  <si>
    <t>957.1</t>
  </si>
  <si>
    <t>Medula óssea, aspiração</t>
  </si>
  <si>
    <t>104.0</t>
  </si>
  <si>
    <t>Metahemoglobina, doseamento, s</t>
  </si>
  <si>
    <t>105.8</t>
  </si>
  <si>
    <t>Mielograma, medula</t>
  </si>
  <si>
    <t>757.9</t>
  </si>
  <si>
    <t>Pesquisa de eosinófilos, exsudados nasais, u</t>
  </si>
  <si>
    <t>1090.6</t>
  </si>
  <si>
    <t>Pigmentos de hemoglobina (sulfa, oxi, carboxi, meta), identificação espectrofotométrica , s</t>
  </si>
  <si>
    <t>114.7</t>
  </si>
  <si>
    <t xml:space="preserve">Piruvato-quinase, eritrócitos, doseamento, s </t>
  </si>
  <si>
    <t>113.9</t>
  </si>
  <si>
    <t xml:space="preserve">Piruvato-quinase, eritrócitos, rastreio, s </t>
  </si>
  <si>
    <t>585.1</t>
  </si>
  <si>
    <t xml:space="preserve">Protoporfirina, eritrócitos, doseamento, s </t>
  </si>
  <si>
    <t>133.3</t>
  </si>
  <si>
    <t xml:space="preserve">Reticulócitos, s                          </t>
  </si>
  <si>
    <t>080.9</t>
  </si>
  <si>
    <t xml:space="preserve">Teste de Ham, teste do soro acidificado, s </t>
  </si>
  <si>
    <t>127.9</t>
  </si>
  <si>
    <t xml:space="preserve">Teste de lise à sacarose, s </t>
  </si>
  <si>
    <t>161.9</t>
  </si>
  <si>
    <t>Velocidade de sedimentação, s</t>
  </si>
  <si>
    <t>953.9</t>
  </si>
  <si>
    <t>Activadores do plasminogénio (tPA, uPA), s</t>
  </si>
  <si>
    <t>951.2</t>
  </si>
  <si>
    <t>Alfa2-antiplasmina, s</t>
  </si>
  <si>
    <t>016.7</t>
  </si>
  <si>
    <t>Anticoagulante tipo lúpico, pesquisa</t>
  </si>
  <si>
    <t>952.0</t>
  </si>
  <si>
    <t>Anticorpos anti-PF4/heparina (anticorpos induzidos pela heparina), s</t>
  </si>
  <si>
    <t>1066.3</t>
  </si>
  <si>
    <t>Antitrombina: Ag (antigénico), s</t>
  </si>
  <si>
    <t>1067.1</t>
  </si>
  <si>
    <t>Antitrombina: funcional, s</t>
  </si>
  <si>
    <t>1070.1</t>
  </si>
  <si>
    <t>Factor de von Willebrand: Ag (antigénico), s</t>
  </si>
  <si>
    <t>1071.0</t>
  </si>
  <si>
    <t>Factor de von Willebrand: funcional (cofactor da ristocetina, ligação ao colagénio), cada</t>
  </si>
  <si>
    <t>1073.6</t>
  </si>
  <si>
    <t>Fibrinogénio: funcional (método de Clauss), s</t>
  </si>
  <si>
    <t>Fibrinogénio: funcional (derivado do tempo de protrombina), s (ver código 24347-Tempo de protrombina)</t>
  </si>
  <si>
    <t>959.8</t>
  </si>
  <si>
    <t>Fibronectina, s</t>
  </si>
  <si>
    <t>046.9</t>
  </si>
  <si>
    <t>FII: C (protrombina), s</t>
  </si>
  <si>
    <t>047.7</t>
  </si>
  <si>
    <t>FV: C, s</t>
  </si>
  <si>
    <t>048.5</t>
  </si>
  <si>
    <t>FVII: C, s</t>
  </si>
  <si>
    <t>050.7</t>
  </si>
  <si>
    <t>FVIII: Ag (antigénico), s</t>
  </si>
  <si>
    <t>049.3</t>
  </si>
  <si>
    <t>FVIII: C, s</t>
  </si>
  <si>
    <t>052.3</t>
  </si>
  <si>
    <t>FIX: C, s</t>
  </si>
  <si>
    <t>053.1</t>
  </si>
  <si>
    <t>FX: C, s</t>
  </si>
  <si>
    <t>054.0</t>
  </si>
  <si>
    <t>FXI: C, s</t>
  </si>
  <si>
    <t>055.8</t>
  </si>
  <si>
    <t>FXII: C, s</t>
  </si>
  <si>
    <t>056.6</t>
  </si>
  <si>
    <t>FXIII: C, s</t>
  </si>
  <si>
    <t>962.8</t>
  </si>
  <si>
    <t>Inibidor do tipo 1 do activador tecidular do plasminogénio (PAI-1), s</t>
  </si>
  <si>
    <t>INR (ver código 24347 - Tempo de protrombina)</t>
  </si>
  <si>
    <t>107.4</t>
  </si>
  <si>
    <t>Monómeros de fibrina, s</t>
  </si>
  <si>
    <t>011.6</t>
  </si>
  <si>
    <t>Plaquetas, agregação plaquetária (sangue total ou plasma), (com agonista), cada, s</t>
  </si>
  <si>
    <t>116.3</t>
  </si>
  <si>
    <t>Plasminogénio, s</t>
  </si>
  <si>
    <t>120.1</t>
  </si>
  <si>
    <t>Produtos de degradação do fibrinogénio/fibrina (PDF), s</t>
  </si>
  <si>
    <t>965.2</t>
  </si>
  <si>
    <t>Proteína C: funcional, s</t>
  </si>
  <si>
    <t>1081.7</t>
  </si>
  <si>
    <t>Proteína S livre: Ag (antigénico), s</t>
  </si>
  <si>
    <t>1082.5</t>
  </si>
  <si>
    <t>Proteína S: funcional, s</t>
  </si>
  <si>
    <t>146.5</t>
  </si>
  <si>
    <t>Tempo de hemorragia</t>
  </si>
  <si>
    <t>1086.8</t>
  </si>
  <si>
    <t>Tempo de protrombina (TP, Quick, INR)</t>
  </si>
  <si>
    <t>151.1</t>
  </si>
  <si>
    <t>Tempo de reptilase, s</t>
  </si>
  <si>
    <t>153.8</t>
  </si>
  <si>
    <t>Tempo de trombina, s</t>
  </si>
  <si>
    <t>1087.6</t>
  </si>
  <si>
    <t>Tempo de tromboplastina parcial activado (APTT) (tempo de cefalina-activador), s</t>
  </si>
  <si>
    <t>Two-Seven-Ten (tempo de protrombina pelo método de Owren), s (ver código 24347-Tempo de protrombina)</t>
  </si>
  <si>
    <t>1088.4</t>
  </si>
  <si>
    <t>Viscosidade sanguínea, s</t>
  </si>
  <si>
    <t>179.1</t>
  </si>
  <si>
    <t xml:space="preserve">Anticorpos anti-ADN dsADN nativo, (imunofluorescência)  </t>
  </si>
  <si>
    <t>180.5</t>
  </si>
  <si>
    <t>Anticorpos anti-células parietais gástricas (APCA)</t>
  </si>
  <si>
    <t>1095.7</t>
  </si>
  <si>
    <t>Anticorpos anti-citoplasma do neutrófilo - mieloperoxidase (MPO), doseamento</t>
  </si>
  <si>
    <t>1094.9</t>
  </si>
  <si>
    <t>Anticorpos anti-citoplasma do neutrófilo - proteínase 3 (PR3), doseamento</t>
  </si>
  <si>
    <t>1093.0</t>
  </si>
  <si>
    <t>Anticorpos anti-citoplasma do neutrófilo (ANCA), (imunofluorescência)</t>
  </si>
  <si>
    <t>1096.5</t>
  </si>
  <si>
    <t xml:space="preserve">Anticorpos anti-citoplasma do neutrófilo, (proteínase 3, mieloperoxidase, elastase, catepsina G, BPI, lactoferrina, lisozima), identificação, cada </t>
  </si>
  <si>
    <t>1097.3</t>
  </si>
  <si>
    <t xml:space="preserve">Anticorpos anti-dsADN, doseamento </t>
  </si>
  <si>
    <t>1098.1</t>
  </si>
  <si>
    <t>Anticorpos anti-esperma</t>
  </si>
  <si>
    <t>215.1</t>
  </si>
  <si>
    <t xml:space="preserve">Anticorpos anti-factor C3 nefrítico </t>
  </si>
  <si>
    <t>185.6</t>
  </si>
  <si>
    <t>Anticorpos anti-ilhéus pancreáticos (ICA)</t>
  </si>
  <si>
    <t>186.4</t>
  </si>
  <si>
    <t xml:space="preserve">Anticorpos anti-insulina                                            </t>
  </si>
  <si>
    <t>187.2</t>
  </si>
  <si>
    <t xml:space="preserve">Anticorpos anti-membrana basal glomerular (MBG)                           </t>
  </si>
  <si>
    <t>188.0</t>
  </si>
  <si>
    <t xml:space="preserve">Anticorpos anti-mitocôndrias (imunofluorescência) (AMA)                                  </t>
  </si>
  <si>
    <t>189.9</t>
  </si>
  <si>
    <t xml:space="preserve">Anticorpos anti-músculo estriado                                 </t>
  </si>
  <si>
    <t>190.2</t>
  </si>
  <si>
    <t xml:space="preserve">Anticorpos anti-músculo liso (ASMA), (imunofluorescência)                                      </t>
  </si>
  <si>
    <t>195.3</t>
  </si>
  <si>
    <t>Anticorpos anti-nucleares e citoplasmáticos (anti-Sm), identificação</t>
  </si>
  <si>
    <t>194.5</t>
  </si>
  <si>
    <t>Anticorpos anti-nucleares e citoplasmáticos (anti-RNP), identificação</t>
  </si>
  <si>
    <t>196.1</t>
  </si>
  <si>
    <t>Anticorpos anti-nucleares e citoplasmáticos (anti-SSA/Ro), identificação</t>
  </si>
  <si>
    <t>197.0</t>
  </si>
  <si>
    <t>Anticorpos anti-nucleares e citoplasmáticos (anti-SSB/La), identificação</t>
  </si>
  <si>
    <t>182.1</t>
  </si>
  <si>
    <t xml:space="preserve">Anticorpos anti-nucleares e citoplasmáticos (anti-Sm, RNP, SSA/Ro, SSB/La, Jo1, Scl70), pesquisa                       </t>
  </si>
  <si>
    <t>191.0</t>
  </si>
  <si>
    <t xml:space="preserve">Anticorpos anti-nucleares e citoplasmáticos (imunofluorescência)                          </t>
  </si>
  <si>
    <t>192.9</t>
  </si>
  <si>
    <t>Anticorpos anti-ovário</t>
  </si>
  <si>
    <t>1101.5</t>
  </si>
  <si>
    <t>Anticorpos anti-reticulina (IgA)</t>
  </si>
  <si>
    <t>1102.3</t>
  </si>
  <si>
    <t>Anticorpos anti-reticulina (IgG)</t>
  </si>
  <si>
    <t>198.8</t>
  </si>
  <si>
    <t xml:space="preserve">Anticorpos anti-supra renal                                          </t>
  </si>
  <si>
    <t>1103.1</t>
  </si>
  <si>
    <t>Anticorpos anti-tiroideus, tiroglobulina (TG), doseamento</t>
  </si>
  <si>
    <t>1104.0</t>
  </si>
  <si>
    <t>Anticorpos anti-tiroideus (TPO), doseamento</t>
  </si>
  <si>
    <t>295.0</t>
  </si>
  <si>
    <t xml:space="preserve">Anticorpos IgE específicos para antigénios isolados (inalantes, alimentares ou outros)                                          </t>
  </si>
  <si>
    <t>1107.4</t>
  </si>
  <si>
    <t xml:space="preserve">Anticorpos IgE específicos para misturas de antigénios (inalantes, alimentares ou outros), cada         </t>
  </si>
  <si>
    <t>357.3</t>
  </si>
  <si>
    <t xml:space="preserve">Antitripsina alfa 1              </t>
  </si>
  <si>
    <t>358.1</t>
  </si>
  <si>
    <t xml:space="preserve">Antitripsina alfa 1, fenótipos                                        </t>
  </si>
  <si>
    <t>1109.0</t>
  </si>
  <si>
    <t>Caracterização de componentes monoclonais (imunofixação / imunosubtracção)</t>
  </si>
  <si>
    <t>255.0</t>
  </si>
  <si>
    <t>Caracterização de componentes oligoclonais no LCR</t>
  </si>
  <si>
    <t>398.0</t>
  </si>
  <si>
    <t xml:space="preserve">Ceruloplasmina                                                </t>
  </si>
  <si>
    <t>1113.9</t>
  </si>
  <si>
    <t>Complemento, actividade hemolítica via alterna (AH50)</t>
  </si>
  <si>
    <t>1114.7</t>
  </si>
  <si>
    <t>Complemento, actividade hemolítica via clássica (CH50)</t>
  </si>
  <si>
    <t>1105.8</t>
  </si>
  <si>
    <t>Complemento (C1q / C'2 / C'5 / C'6 / C'7 / C'8 / C'9 / Properdina / FB, FH), cada</t>
  </si>
  <si>
    <t>1106.6</t>
  </si>
  <si>
    <t>Complemento (C3)</t>
  </si>
  <si>
    <t>221.6</t>
  </si>
  <si>
    <t>Complemento (C4)</t>
  </si>
  <si>
    <t>1115.5</t>
  </si>
  <si>
    <t>Complemento, complexos solúveis de activação C5b-9</t>
  </si>
  <si>
    <t>1251.8</t>
  </si>
  <si>
    <t>Complemento, fragmentos de activação, cada</t>
  </si>
  <si>
    <t>229.1</t>
  </si>
  <si>
    <t>Crioglobulinas, caracterização</t>
  </si>
  <si>
    <t>230.5</t>
  </si>
  <si>
    <t xml:space="preserve">Crioglobulinas, pesquisa                                            </t>
  </si>
  <si>
    <t>1198.8</t>
  </si>
  <si>
    <t>Factor reumatóide (reação de Waaler-Rose)</t>
  </si>
  <si>
    <t>Haptoglobina (ver tabela de Hematologia código 24385 - Haptoglobina)</t>
  </si>
  <si>
    <t>1108.2</t>
  </si>
  <si>
    <t>Imunocomplexos circulantes (ICC), pesquisa</t>
  </si>
  <si>
    <t xml:space="preserve">Imunoelectroforese (ver código 25247 - Caracterização) </t>
  </si>
  <si>
    <t>Imunofixação (ver código 25247 - Caracterização)</t>
  </si>
  <si>
    <t>256.9</t>
  </si>
  <si>
    <t xml:space="preserve">Imunoglobulina D                                                  </t>
  </si>
  <si>
    <t>257.7</t>
  </si>
  <si>
    <t xml:space="preserve">Imunoglobulina E     </t>
  </si>
  <si>
    <t>251.8</t>
  </si>
  <si>
    <t xml:space="preserve">Imunoglobulinas (A), doseamento                                </t>
  </si>
  <si>
    <t>252.6</t>
  </si>
  <si>
    <t xml:space="preserve">Imunoglobulinas (G), doseamento                               </t>
  </si>
  <si>
    <t>253.4</t>
  </si>
  <si>
    <t xml:space="preserve">Imunoglobulinas (M), doseamento                             </t>
  </si>
  <si>
    <t>Imunosubtração (ver código 25247 - Caracterização)</t>
  </si>
  <si>
    <t>1111.2</t>
  </si>
  <si>
    <t xml:space="preserve">Inibidor da esterase C'1                         </t>
  </si>
  <si>
    <t>360.3</t>
  </si>
  <si>
    <t xml:space="preserve">Macroglobulina alfa-2                                             </t>
  </si>
  <si>
    <t>290.9</t>
  </si>
  <si>
    <t xml:space="preserve">Precipitinas, identificação  por  difusão em gel, cada                       </t>
  </si>
  <si>
    <t>Proteína C reactiva (ver tabela de Bioquímica código 22669 - Proteína)</t>
  </si>
  <si>
    <t>Proteína C reactiva ultra-sensível (ver tabela de Bioquímica código 22671 - Proteína)</t>
  </si>
  <si>
    <t>Waaler-Rose (ver código 25183 - Factor)</t>
  </si>
  <si>
    <t>CITOMETRIA DE FLUXO</t>
  </si>
  <si>
    <t>Anticorpos, pesquisa em células e em soro</t>
  </si>
  <si>
    <t>1116.3</t>
  </si>
  <si>
    <t>Anticorpos anti-linfócito ou anti-neutrófilo ou anti-plaqueta, pesquisa em células, cada isotipo, citometria de fluxo</t>
  </si>
  <si>
    <t>1117.1</t>
  </si>
  <si>
    <t>Anticorpos anti-linfócito ou anti-neutrófilo ou anti-plaqueta, pesquisa em soro, cada isotipo, citometria de fluxo</t>
  </si>
  <si>
    <t>Imunodeficiências e doenças autoimunes, caracterização de distúrbios da imunidade</t>
  </si>
  <si>
    <t>1112.0</t>
  </si>
  <si>
    <t>HLA B27, avaliação da expressão, citometria de fluxo</t>
  </si>
  <si>
    <t>Populações linfocitárias e leucocitárias, quantificação</t>
  </si>
  <si>
    <t>1118.0</t>
  </si>
  <si>
    <t>Populações linfocitárias T (CD4 e CD8), quantificação, citometria de fluxo</t>
  </si>
  <si>
    <t>1119.8</t>
  </si>
  <si>
    <t>Populações linfocitárias B (CD5 e cadeias leves kappa e lambda), quantificação, citometria de fluxo</t>
  </si>
  <si>
    <t>Os códigos que não explicitem o agente infeccioso só poderão ser utilizados se não existir um código mais específico</t>
  </si>
  <si>
    <t>1240.2</t>
  </si>
  <si>
    <t>Anticorpos para agente infeccioso IgA - inclui titulação</t>
  </si>
  <si>
    <t>1125.2</t>
  </si>
  <si>
    <t>Anticorpos para agente infeccioso IgG - inclui titulação</t>
  </si>
  <si>
    <t>1126.0</t>
  </si>
  <si>
    <t>Anticorpos para agente infeccioso IgM - inclui titulação</t>
  </si>
  <si>
    <t>1210.0</t>
  </si>
  <si>
    <t>Anticorpos para agente infeccioso totais - inclui titulação</t>
  </si>
  <si>
    <t>1133.3</t>
  </si>
  <si>
    <t>Anticorpos para CMV IgG</t>
  </si>
  <si>
    <t>1241.0</t>
  </si>
  <si>
    <t>Anticorpos para CMV IgG+IgM</t>
  </si>
  <si>
    <t>1134.1</t>
  </si>
  <si>
    <t>Anticorpos para CMV IgM</t>
  </si>
  <si>
    <t>1135.0</t>
  </si>
  <si>
    <t>Anticorpos para CMV - teste de avidez</t>
  </si>
  <si>
    <t>1147.3</t>
  </si>
  <si>
    <r>
      <t xml:space="preserve">Anticorpos para </t>
    </r>
    <r>
      <rPr>
        <i/>
        <sz val="9"/>
        <rFont val="Comic Sans MS"/>
        <family val="4"/>
      </rPr>
      <t>Coxiella burnetii</t>
    </r>
    <r>
      <rPr>
        <sz val="9"/>
        <rFont val="Comic Sans MS"/>
        <family val="4"/>
      </rPr>
      <t xml:space="preserve"> fase 1– IgG</t>
    </r>
  </si>
  <si>
    <t>1148.1</t>
  </si>
  <si>
    <r>
      <t xml:space="preserve">Anticorpos para </t>
    </r>
    <r>
      <rPr>
        <i/>
        <sz val="9"/>
        <rFont val="Comic Sans MS"/>
        <family val="4"/>
      </rPr>
      <t xml:space="preserve">Coxiella burnetii </t>
    </r>
    <r>
      <rPr>
        <sz val="9"/>
        <rFont val="Comic Sans MS"/>
        <family val="4"/>
      </rPr>
      <t>fase 1– IgM</t>
    </r>
  </si>
  <si>
    <t>1149.0</t>
  </si>
  <si>
    <r>
      <t xml:space="preserve">Anticorpos para </t>
    </r>
    <r>
      <rPr>
        <i/>
        <sz val="9"/>
        <rFont val="Comic Sans MS"/>
        <family val="4"/>
      </rPr>
      <t>Coxiella burnetii</t>
    </r>
    <r>
      <rPr>
        <sz val="9"/>
        <rFont val="Comic Sans MS"/>
        <family val="4"/>
      </rPr>
      <t xml:space="preserve"> fase 2– IgG</t>
    </r>
  </si>
  <si>
    <t>1150.3</t>
  </si>
  <si>
    <r>
      <t xml:space="preserve">Anticorpos para </t>
    </r>
    <r>
      <rPr>
        <i/>
        <sz val="9"/>
        <rFont val="Comic Sans MS"/>
        <family val="4"/>
      </rPr>
      <t>Coxiella burnetii</t>
    </r>
    <r>
      <rPr>
        <sz val="9"/>
        <rFont val="Comic Sans MS"/>
        <family val="4"/>
      </rPr>
      <t xml:space="preserve"> fase 2– IgM</t>
    </r>
  </si>
  <si>
    <t>1151.1</t>
  </si>
  <si>
    <t>Anticorpos para Herpes simplex I- IgG</t>
  </si>
  <si>
    <t>1242.9</t>
  </si>
  <si>
    <t>Anticorpos para Herpes simplex I- IgG+IgM</t>
  </si>
  <si>
    <t>1152.0</t>
  </si>
  <si>
    <t>Anticorpos para Herpes simplex I - IgM</t>
  </si>
  <si>
    <t>1153.8</t>
  </si>
  <si>
    <t>Anticorpos para Herpes simplex II - IgG</t>
  </si>
  <si>
    <t>1243.7</t>
  </si>
  <si>
    <t>Anticorpos para Herpes simplex II- IgG+IgM</t>
  </si>
  <si>
    <t>1154.6</t>
  </si>
  <si>
    <t xml:space="preserve">Anticorpos para Herpes simplex II - IgM </t>
  </si>
  <si>
    <t>1156.2</t>
  </si>
  <si>
    <t>Anticorpos para Legionella pneumophila totais</t>
  </si>
  <si>
    <t>1157.0</t>
  </si>
  <si>
    <t>Anticorpos para Mycoplasma pneumoniae – IgG</t>
  </si>
  <si>
    <t>1244.5</t>
  </si>
  <si>
    <t>Anticorpos para Mycoplasma pneumoniae – IgG+IgM</t>
  </si>
  <si>
    <t>1158.9</t>
  </si>
  <si>
    <t>Anticorpos para Mycoplasma pneumoniae – IgM</t>
  </si>
  <si>
    <t>1159.7</t>
  </si>
  <si>
    <t>Anticorpos para Rickettsia conorii – IgG</t>
  </si>
  <si>
    <t>1160.0</t>
  </si>
  <si>
    <t>Anticorpos para Rickettsia conorii – IgM</t>
  </si>
  <si>
    <t>1161.9</t>
  </si>
  <si>
    <t>Anticorpos para Rubéola – IgG</t>
  </si>
  <si>
    <t>1245.3</t>
  </si>
  <si>
    <t>Anticorpos para Rubéola – IgG+IgM</t>
  </si>
  <si>
    <t>1162.7</t>
  </si>
  <si>
    <t>Anticorpos para Rubéola – IgM</t>
  </si>
  <si>
    <t>1261.5</t>
  </si>
  <si>
    <t>Anticorpos para Rubéola – teste de avidez</t>
  </si>
  <si>
    <t>1164.3</t>
  </si>
  <si>
    <t>Anticorpos para Toxoplasma gondii - IgG</t>
  </si>
  <si>
    <t>1246.1</t>
  </si>
  <si>
    <t>Anticorpos para Toxoplasma gondii - IgG + IgM</t>
  </si>
  <si>
    <t>1165.1</t>
  </si>
  <si>
    <t>Anticorpos para Toxoplasma gondii – IgM</t>
  </si>
  <si>
    <t>1163.5</t>
  </si>
  <si>
    <t>Anticorpos para Toxoplasma gondii – teste de avidez</t>
  </si>
  <si>
    <t>874.5</t>
  </si>
  <si>
    <t>Anticorpos para Treponema pallidum (TPHA)</t>
  </si>
  <si>
    <t>837.0</t>
  </si>
  <si>
    <t xml:space="preserve">Anticorpos para Treponema pallidum, FTA-ABs (I.F.) </t>
  </si>
  <si>
    <t>868.0</t>
  </si>
  <si>
    <t>Anticorpos para VIH 1 e 2</t>
  </si>
  <si>
    <t>1122.8</t>
  </si>
  <si>
    <t xml:space="preserve">Anticorpos para vírus Hepatite A IgG </t>
  </si>
  <si>
    <t>1247.0</t>
  </si>
  <si>
    <t>Anticorpos para vírus Hepatite A IgG+IgM</t>
  </si>
  <si>
    <t>1123.6</t>
  </si>
  <si>
    <t xml:space="preserve">Anticorpos para vírus Hepatite A IgM </t>
  </si>
  <si>
    <t>1120.1</t>
  </si>
  <si>
    <t xml:space="preserve">Anticorpos para vírus Hepatite B - anti HBc IgG ou total </t>
  </si>
  <si>
    <t>811.7</t>
  </si>
  <si>
    <t>Anticorpos para vírus Hepatite B - anti HBc IgM</t>
  </si>
  <si>
    <t>1121.0</t>
  </si>
  <si>
    <t>Anticorpos para vírus Hepatite B - anti Hbe</t>
  </si>
  <si>
    <t>1124.4</t>
  </si>
  <si>
    <t>Anticorpos para vírus Hepatite B - anti Hbs</t>
  </si>
  <si>
    <t>1129.5</t>
  </si>
  <si>
    <t>Mononucleose infecciosa (teste rápido)</t>
  </si>
  <si>
    <t>875.3</t>
  </si>
  <si>
    <t>Reacção de VDRL com titulação</t>
  </si>
  <si>
    <t>1145.7</t>
  </si>
  <si>
    <t>Reacção de Widal-Felix</t>
  </si>
  <si>
    <t>1146.5</t>
  </si>
  <si>
    <t>Reacção de Wright/Huddleson/outras provas serológicas aglutinação para brucelose</t>
  </si>
  <si>
    <t>871.0</t>
  </si>
  <si>
    <t>853.2</t>
  </si>
  <si>
    <t xml:space="preserve">Título de anti-estreptolisina O </t>
  </si>
  <si>
    <t>ANTIGÉNIOS</t>
  </si>
  <si>
    <t>1257.7</t>
  </si>
  <si>
    <t>Antigénio Adenovirus, detecção</t>
  </si>
  <si>
    <t>777.3</t>
  </si>
  <si>
    <t>Antigénio de agente infeccioso (método imunoenzimático / imunocromatográfico), cada agente</t>
  </si>
  <si>
    <t>1131.7</t>
  </si>
  <si>
    <t>Antigénio de agente infeccioso (método imunofluorescência), cada agente</t>
  </si>
  <si>
    <t>856.7</t>
  </si>
  <si>
    <t>Antigénio HBe</t>
  </si>
  <si>
    <t>1130.9</t>
  </si>
  <si>
    <t>Antigénio HBs</t>
  </si>
  <si>
    <t>1132.5</t>
  </si>
  <si>
    <t>Antigénio Rotavirus nas fezes</t>
  </si>
  <si>
    <t>1258.5</t>
  </si>
  <si>
    <t>Antigénio vírus Influenza em amostras respiratórias</t>
  </si>
  <si>
    <t>1259.3</t>
  </si>
  <si>
    <t>Antigénio vírus Parainflueza em amostras respiratórias</t>
  </si>
  <si>
    <t>1260.7</t>
  </si>
  <si>
    <t>Antigénio vírus Sincicial Respiratório em amostras respiratórias</t>
  </si>
  <si>
    <t>BACTERIOLOGIA</t>
  </si>
  <si>
    <t>1262.3</t>
  </si>
  <si>
    <t>Amostras respiratórias inferiores - exame directo, cultural, identificação e TSA</t>
  </si>
  <si>
    <t>775.7</t>
  </si>
  <si>
    <t>Chlamydia trachomatis - pesquisa em exsudado endocervical, uretral e ocular</t>
  </si>
  <si>
    <t>748.0</t>
  </si>
  <si>
    <t xml:space="preserve">Exame directo com coloração - Gram e outros (procedimento isolado) </t>
  </si>
  <si>
    <t>1199.6</t>
  </si>
  <si>
    <t>Exsudado auricular - exame cultural, identificação e TSA</t>
  </si>
  <si>
    <t>1204.6</t>
  </si>
  <si>
    <t xml:space="preserve">Exsudado endocervical - pesquisa de Neisseria gonorrhoeae, exame cultural, identificação e TSA </t>
  </si>
  <si>
    <t>746.3</t>
  </si>
  <si>
    <t>Exsudado faríngeo - pesquisa de Corynebacterium diphtheriae, exame cultural e identificação</t>
  </si>
  <si>
    <t>1201.1</t>
  </si>
  <si>
    <t>Exsudado faríngeo - pesquisa de Neisseria gonorrhoeae, exame cultural, identificação e TSA</t>
  </si>
  <si>
    <t>1213.5</t>
  </si>
  <si>
    <t>Exsudado faríngeo ou nasal - pesquisa Streptococcus beta-hemolíticos, exame cultural e identificação</t>
  </si>
  <si>
    <t>751.0</t>
  </si>
  <si>
    <t xml:space="preserve">Exsudado naso-faríngeo - pesquisa de Bordetella pertussis, exame cultural e identificação </t>
  </si>
  <si>
    <t>1263.1</t>
  </si>
  <si>
    <t>Exsudado naso-faríngeo - Pesquisa de Neisseria meningitidis, exame cultural</t>
  </si>
  <si>
    <t>1252.6</t>
  </si>
  <si>
    <t xml:space="preserve">Exsudado ocular - exame cultural, identificação e TSA </t>
  </si>
  <si>
    <t>1253.4</t>
  </si>
  <si>
    <t xml:space="preserve">Exsudado purulento profundo (colheita por aspiração) - exame directo, cultural em aerobiose e anaerobiose, identificação e TSA </t>
  </si>
  <si>
    <t>1254.2</t>
  </si>
  <si>
    <t>Exsudado purulento superficial - exame cultural, identificação e TSA</t>
  </si>
  <si>
    <t>1212.7</t>
  </si>
  <si>
    <t xml:space="preserve">Exsudado uretral - exame bacteriológico, micológico e parasitológico, identificação e TSA </t>
  </si>
  <si>
    <t>1211.9</t>
  </si>
  <si>
    <t>Exsudado vaginal, exame bacteriológico com identificação, micológico e parasitológico</t>
  </si>
  <si>
    <t>756.0</t>
  </si>
  <si>
    <t xml:space="preserve">Fezes - pesquisa de Salmonella, Shigella e Campylobacter, exame cultural, identificação e TSA </t>
  </si>
  <si>
    <t>1224.0</t>
  </si>
  <si>
    <t>Hemocultura - em anaerobiose, identificação e TSA</t>
  </si>
  <si>
    <t>1223.2</t>
  </si>
  <si>
    <t>Hemocultura / Mielocultura - em aerobiose, identificação e TSA</t>
  </si>
  <si>
    <t>1155.4</t>
  </si>
  <si>
    <t>Legionella spp - pesquisa em amostras respiratórias, exame cultural e identificação</t>
  </si>
  <si>
    <t>1264.0</t>
  </si>
  <si>
    <t>Líquor (LCR) - exame directo e cultural, identificação e TSA</t>
  </si>
  <si>
    <t>1222.4</t>
  </si>
  <si>
    <t xml:space="preserve">Líquidos de cavidades naturais - exame directo, cultural, identificação e TSA </t>
  </si>
  <si>
    <t>1214.3</t>
  </si>
  <si>
    <t xml:space="preserve">Streptococcus do grupo B - detecção de portadoras </t>
  </si>
  <si>
    <t>785.4</t>
  </si>
  <si>
    <t>Treponema pallidum - Pesquisa em lesões ulceradas por microscopia de fundo escuro ou imunofluorescência</t>
  </si>
  <si>
    <t>1265.8</t>
  </si>
  <si>
    <t>Urina - exame directo, cultural, identificação e TSA (Urocultura)</t>
  </si>
  <si>
    <t>1267.4</t>
  </si>
  <si>
    <t>Outros produtos biológicos - exame directo e cultural em aerobiose, identificação e TSA</t>
  </si>
  <si>
    <t>1268.2</t>
  </si>
  <si>
    <t>Outros produtos biológicos - exame directo e cultural em anaerobiose, identificação e TSA</t>
  </si>
  <si>
    <t>741.2</t>
  </si>
  <si>
    <t xml:space="preserve">Teste susceptibilidade antimicrobianos com concentração inibitória mínima (MIC), em placa, cada fármaco   </t>
  </si>
  <si>
    <t>Nota: Consideram-se "Outros produtos biológicos" aqueles que não são explicitados noutros códigos.</t>
  </si>
  <si>
    <t>MICOBACTERIOLOGIA</t>
  </si>
  <si>
    <t>1226.7</t>
  </si>
  <si>
    <t>Amostras respiratórias para pesquisa de Micobactérias - exame directo e cultural em meios sólidos</t>
  </si>
  <si>
    <t>1227.5</t>
  </si>
  <si>
    <t xml:space="preserve">Amostras respiratórias para pesquisa de Micobactérias - exame directo e cultural em meios sólidos e líquidos </t>
  </si>
  <si>
    <t>1138.4</t>
  </si>
  <si>
    <t>Micobactérias - exame directo (procedimento isolado)</t>
  </si>
  <si>
    <t>740.4</t>
  </si>
  <si>
    <t>Micobactérias - teste susceptibilidade antimicrobianos, cada fármaco</t>
  </si>
  <si>
    <t>1228.3</t>
  </si>
  <si>
    <t>Outros produtos biológicos para pesquisa de Micobactérias - exame directo e cultural em meios sólidos</t>
  </si>
  <si>
    <t>1229.1</t>
  </si>
  <si>
    <t>Outros produtos biológicos para pesquisa de Micobactérias - exame directo e cultural em meios sólidos e líquidos</t>
  </si>
  <si>
    <t>MICOLOGIA</t>
  </si>
  <si>
    <t>772.2</t>
  </si>
  <si>
    <t>Fungos - pesquisa em exame directo, procedimento isolado</t>
  </si>
  <si>
    <t>1139.2</t>
  </si>
  <si>
    <t>Fungos leveduriformes - exame micológico cultural</t>
  </si>
  <si>
    <t>1142.2</t>
  </si>
  <si>
    <t>Fungos leveduriformes - identificação por métodos manuais, microscópicos ou outros</t>
  </si>
  <si>
    <t>1140.6</t>
  </si>
  <si>
    <t>Fungos não leveduriformes - exame micológico cultural</t>
  </si>
  <si>
    <t>1143.0</t>
  </si>
  <si>
    <t>Fungos não leveduriformes - identificação por métodos manuais, microscópicos ou outros</t>
  </si>
  <si>
    <t>PARASITOLOGIA</t>
  </si>
  <si>
    <t>1144.9</t>
  </si>
  <si>
    <t>Exame parasitológico directo</t>
  </si>
  <si>
    <t>763.3</t>
  </si>
  <si>
    <t xml:space="preserve">Exame parasitológico directo após coloração permanente </t>
  </si>
  <si>
    <t>773.0</t>
  </si>
  <si>
    <t>Exame parasitológico directo, com concentração</t>
  </si>
  <si>
    <t xml:space="preserve">VIROLOGIA </t>
  </si>
  <si>
    <t>1255.0</t>
  </si>
  <si>
    <t xml:space="preserve">Cultura de vírus </t>
  </si>
  <si>
    <t>1256.9</t>
  </si>
  <si>
    <t>Cultura de vírus - Shell Vial</t>
  </si>
  <si>
    <t>II - BIOLOGIA MOLECULAR: Abordagem Analítica</t>
  </si>
  <si>
    <t>036.1</t>
  </si>
  <si>
    <t>Restrição enzimática</t>
  </si>
  <si>
    <t>III - ABORDAGEM NOSOLÓGICA</t>
  </si>
  <si>
    <t>1166.0</t>
  </si>
  <si>
    <t>Grupo sanguíneo RhCE, estudo molecular</t>
  </si>
  <si>
    <t>1167.8</t>
  </si>
  <si>
    <t>Grupo sanguíneo RhD, estudo molecular</t>
  </si>
  <si>
    <t>IMUNOHEMOTERAPIA</t>
  </si>
  <si>
    <t>079.5</t>
  </si>
  <si>
    <t>Tipagem AB0 e Rh (D)</t>
  </si>
  <si>
    <t>062.0</t>
  </si>
  <si>
    <t>020.5</t>
  </si>
  <si>
    <t>Estudo de cada antigénio eritrocitário (fora dos sistemas AB0 e Rh)</t>
  </si>
  <si>
    <t>027.2</t>
  </si>
  <si>
    <t>Teste de anti-globulina humana directo (Coombs directo)</t>
  </si>
  <si>
    <t>1168.6</t>
  </si>
  <si>
    <t>Pesquisa de anticorpos irregulares, anti-eritrócito (em meio enzimático)</t>
  </si>
  <si>
    <t>1169.4</t>
  </si>
  <si>
    <t>Pesquisa de anticorpos irregulares, anti-eritrócito (meio de antiglobulina humana), em doentes</t>
  </si>
  <si>
    <t>1170.8</t>
  </si>
  <si>
    <t>Pesquisa de anticorpos irregulares, anti-eritrócito, outros métodos</t>
  </si>
  <si>
    <t>1171.6</t>
  </si>
  <si>
    <t>Identificação de anticorpos  anti-eritrócito (meio enzimático)</t>
  </si>
  <si>
    <t>1172.4</t>
  </si>
  <si>
    <t>Identificação de anticorpos anti-eritrócito (meio de antiglobulina humana)</t>
  </si>
  <si>
    <t>1230.5</t>
  </si>
  <si>
    <t>Identificação de anticorpos anti-eritrócito, outros métodos</t>
  </si>
  <si>
    <t>032.9</t>
  </si>
  <si>
    <t>Crioaglutininas, pesquisa</t>
  </si>
  <si>
    <t>Crioaglutininas, titulação (ver código 55065 - Titulação de anticorpos)</t>
  </si>
  <si>
    <t>1173.2</t>
  </si>
  <si>
    <t>Crioaglutuninas, titulação de anticorpos anti-eritrócito</t>
  </si>
  <si>
    <t>017.5</t>
  </si>
  <si>
    <t>Teste de Donath-Landsteiner</t>
  </si>
  <si>
    <t>HISTOCOMPATIBILIDADE</t>
  </si>
  <si>
    <t>Esta Tabela destina-se, exclusivamente, aos Centros de Histocompatibilidade do Norte Centro e Sul, face às características próprias de algumas análises, no contexto da actividade da transplantação, no que respeita à sua metodologia e aplicações.</t>
  </si>
  <si>
    <t>243.7</t>
  </si>
  <si>
    <t>Tipagem HLA-ABC por linfocitotoxicidade</t>
  </si>
  <si>
    <t>244.5</t>
  </si>
  <si>
    <t>Tipagem HLA - DR, DQ por linfocitotoxidade</t>
  </si>
  <si>
    <t>285.2</t>
  </si>
  <si>
    <t>Pesquisa de alo-anticorpos anti-HLA classe I e II</t>
  </si>
  <si>
    <t>Meios Complementares de Diagnóstico e Terapêutica</t>
  </si>
  <si>
    <t>TABELA DA ÁREA A - ANÁLISES CLÍNICAS</t>
  </si>
  <si>
    <t>Nomenclatura comum OM/SNS/Convencionados</t>
  </si>
  <si>
    <t>Preço</t>
  </si>
  <si>
    <t>1318.2</t>
  </si>
  <si>
    <t>Albumina de baixa concentração, l/u/LCR</t>
  </si>
  <si>
    <t>1311.5</t>
  </si>
  <si>
    <t>1312.3</t>
  </si>
  <si>
    <t>N/D</t>
  </si>
  <si>
    <t>Apolipoproteínas Lp(a), cada, s</t>
  </si>
  <si>
    <t>a)</t>
  </si>
  <si>
    <t>Avaliação de cálculo de risco para cromossopatias</t>
  </si>
  <si>
    <t>Beta2-microglobulina, s/u/l</t>
  </si>
  <si>
    <t>1313.1</t>
  </si>
  <si>
    <t>Bilirrubina direta, s/l</t>
  </si>
  <si>
    <t>1314.0</t>
  </si>
  <si>
    <t>1301.8</t>
  </si>
  <si>
    <t>Catecolaminas, frações (adrenalina, noradrenalina, dopamina), s</t>
  </si>
  <si>
    <t>Citrato, u</t>
  </si>
  <si>
    <t>1315.8</t>
  </si>
  <si>
    <t>Cortisol livre, u</t>
  </si>
  <si>
    <t>Equilíbrio ácido-base (pH, pCO2, pO2, SatO2, CO2, ...), s (ver código 21789 - Gasimetria…)</t>
  </si>
  <si>
    <t>Folatos, s</t>
  </si>
  <si>
    <t>Fosfatase ácida, fração prostática (PAP), (mét. imunológico), s</t>
  </si>
  <si>
    <t>1523.1</t>
  </si>
  <si>
    <t>Gasimetria (pH, pCO2, pO2, SatO2, CO2, ...), s</t>
  </si>
  <si>
    <t>1270.4</t>
  </si>
  <si>
    <t>1317.4</t>
  </si>
  <si>
    <t>Homocisteína, s</t>
  </si>
  <si>
    <t>Morfina (ver código 21775 - Drogas de abuso, pesquisa, cada, s/u)</t>
  </si>
  <si>
    <t>NSE (Neuro enolase específica), s/l</t>
  </si>
  <si>
    <t>1327.3</t>
  </si>
  <si>
    <t>Peptídeo natriurético (tipo B), s</t>
  </si>
  <si>
    <t>Proteína A plasmática associada à gravidez (PAPP-A)</t>
  </si>
  <si>
    <t>Proteína C reativa Ultrassensível, s</t>
  </si>
  <si>
    <t>Proteína C reativa, s</t>
  </si>
  <si>
    <t>Prova de tolerância à glucose, doseamentos de insulina e glucose, cada doseamento</t>
  </si>
  <si>
    <t>Somatomedina C (IGF1)</t>
  </si>
  <si>
    <t>Troponina T, I, s, cada</t>
  </si>
  <si>
    <t>1302.6</t>
  </si>
  <si>
    <t>Vitamina D (calcifediol, calciferol e outras), cada, s</t>
  </si>
  <si>
    <t>Eosinófilos, pesquisa, exsudados nasais/u</t>
  </si>
  <si>
    <t>Hemoglobinas, eletroforese, (pH alcalino), s</t>
  </si>
  <si>
    <t>1303.4</t>
  </si>
  <si>
    <t>Parasitas (Plasmodium, Leishmania, outros), pesquisa, s/medula</t>
  </si>
  <si>
    <t>Reticulócitos, s</t>
  </si>
  <si>
    <t>Anticoagulante tipo lúpico, pesquisa (a pesquisa inclui a realização de dois testes com duas metodologias diferentes)</t>
  </si>
  <si>
    <t>1304.2</t>
  </si>
  <si>
    <t>Dímeros-D (DD), s</t>
  </si>
  <si>
    <t>Fator de von Willebrand: Ag (antigénico), s</t>
  </si>
  <si>
    <t>Plaquetas, avaliação da função plaquetária (em sistema de alta pressão - PFA-100) sob elevada tensão de cisalhamento (sangue total), cada, s</t>
  </si>
  <si>
    <t>Anticorpos anti-ADN nativo (dsDNA)</t>
  </si>
  <si>
    <t>Anticorpos anti-LKM (imunofluorescência)</t>
  </si>
  <si>
    <t>1305.0</t>
  </si>
  <si>
    <t>1310.7</t>
  </si>
  <si>
    <t>Anticorpos IgE específicos para antigénios isolados (inalantes, alimentares ou outros), cada antigénio</t>
  </si>
  <si>
    <t>Anticorpos IgE específicos para misturas de antigénios (inalantes, alimentares ou outros), cada mistura</t>
  </si>
  <si>
    <t>Antitripsina alfa 1</t>
  </si>
  <si>
    <t>1110.4</t>
  </si>
  <si>
    <t>Caracterização de componentes monoclonais (imunofixação), após concentração</t>
  </si>
  <si>
    <t>Ceruloplasmina</t>
  </si>
  <si>
    <t>Complemento, atividade hemolítica via clássica (CH50)</t>
  </si>
  <si>
    <t>296.8</t>
  </si>
  <si>
    <t>Imunoglobulina A (IgA)</t>
  </si>
  <si>
    <t>Imunoglobulina E</t>
  </si>
  <si>
    <t>Imunoglobulina G (IgG)</t>
  </si>
  <si>
    <t>Imunoglobulina M (IgM)</t>
  </si>
  <si>
    <t>1306.9</t>
  </si>
  <si>
    <t>Imunoglobulinas, cadeias leves, (kappa, lambda), s, cada</t>
  </si>
  <si>
    <t>Imunoglobulinas, cadeias leves, (kappa, lambda), u, cada</t>
  </si>
  <si>
    <t>Doenças linfoproliferativas, imunofenotipagem</t>
  </si>
  <si>
    <t>1307.7</t>
  </si>
  <si>
    <t>Doenças linfoproliferativas B, quantificação e caracterização do perfil fenotípico dos linfócitos B, estudo inicial, citometria de fluxo</t>
  </si>
  <si>
    <t>1308.5</t>
  </si>
  <si>
    <t>Anticorpos para VIH 1 e 2 (inclui confirmação)</t>
  </si>
  <si>
    <t>1271.2</t>
  </si>
  <si>
    <t>Anticorpos para vírus Hepatite C - anti HCV</t>
  </si>
  <si>
    <t>1272.0</t>
  </si>
  <si>
    <t>1273.9</t>
  </si>
  <si>
    <t>Anticorpos para vírus Hepatite C - anti HCV IgM</t>
  </si>
  <si>
    <t>753.6</t>
  </si>
  <si>
    <t>Reação de Rosa Bengala</t>
  </si>
  <si>
    <t>Reação de VDRL com titulação</t>
  </si>
  <si>
    <t>879.6</t>
  </si>
  <si>
    <t>Reação de Widal-Felix</t>
  </si>
  <si>
    <t>Reação de Wright/Huddleson</t>
  </si>
  <si>
    <t>Antigénios</t>
  </si>
  <si>
    <t>Antigénio de Legionella pneumophila na urina (método imunocromatográfico)</t>
  </si>
  <si>
    <t>Antigénio de vírus da Hepatite B - Hbe</t>
  </si>
  <si>
    <t>Antigénio de vírus da Hepatite B - Hbs</t>
  </si>
  <si>
    <t>1321.2</t>
  </si>
  <si>
    <t>Amostras respiratórias (expetoração, aspirado endotraqueal e aspirado brônquico) - exame direto - Gram - e exame cultural, identificação e TSA</t>
  </si>
  <si>
    <t>1322.0</t>
  </si>
  <si>
    <t>1526.1</t>
  </si>
  <si>
    <t>1527.1</t>
  </si>
  <si>
    <t>Chlamydia trachomatis - identificação de serovar (genovar) L1, L2 ou L3</t>
  </si>
  <si>
    <t>1323.9</t>
  </si>
  <si>
    <t>1309.3</t>
  </si>
  <si>
    <t>Exsudado endocervical/uretral - pesquisa de Mycoplasmas genitais, exame cultural, identificação e TSA</t>
  </si>
  <si>
    <t>Exsudado faríngeo - pesquisa Streptococcus beta-hemolíticos, exame cultural e identificação</t>
  </si>
  <si>
    <t>Exsudado nasal - rastreio de Staphylococcus aureus resistente à meticilina, exame cultural</t>
  </si>
  <si>
    <t>Exsudado nasofaríngeo - pesquisa de Neisseria meningitidis, exame cultural</t>
  </si>
  <si>
    <t>1326.3</t>
  </si>
  <si>
    <t>Exsudado vaginal - exame bacteriológico, micológico e parasitológico, identificação e TSA</t>
  </si>
  <si>
    <t>1325.5</t>
  </si>
  <si>
    <t>1324.7</t>
  </si>
  <si>
    <t>Micobacteriologia</t>
  </si>
  <si>
    <t>Amostras respiratórias para pesquisa de Micobactérias - exame direto e cultural em meios sólidos</t>
  </si>
  <si>
    <t>Micobactérias - exame direto (procedimento isolado)</t>
  </si>
  <si>
    <t>Micobactérias - pesquisa por técnicas de ácidos nucleicos</t>
  </si>
  <si>
    <t>Fungos - pesquisa em exame direto, procedimento isolado</t>
  </si>
  <si>
    <t>Exame parasitológico direto, com concentração</t>
  </si>
  <si>
    <t>Análises</t>
  </si>
  <si>
    <t>1300.0</t>
  </si>
  <si>
    <t>D fraco, pesquisa</t>
  </si>
  <si>
    <t>Teste de anti-globulina humana direto (Coombs direto)</t>
  </si>
  <si>
    <t>a) A entrada em vigor deste código carece de elaboração de norma de orientação clínica da Direção-Geral da Saúde.</t>
  </si>
  <si>
    <t>N/D - Não disponível.</t>
  </si>
  <si>
    <t>TABELA DA ÁREA B - ANATOMIA PATOLÓGICA</t>
  </si>
  <si>
    <t>Para aplicação desta tabela deve consultar-se a Circular Normativa da ACSS a propósito em vigor.</t>
  </si>
  <si>
    <t>Anatomia Patológica</t>
  </si>
  <si>
    <t>Diagnóstico por Citopatologia</t>
  </si>
  <si>
    <t>008.6</t>
  </si>
  <si>
    <t>Exame citológico cervico-vaginal</t>
  </si>
  <si>
    <t>009.4</t>
  </si>
  <si>
    <t>Exame de citologia esfoliativa não cervico-vaginal</t>
  </si>
  <si>
    <t>010.8</t>
  </si>
  <si>
    <t>Aspiração com agulha fina guiada por palpação com preparação de esfregaços e exame citológico do produto obtido</t>
  </si>
  <si>
    <t>Processamento e exame citológico de aspirado de agulha fina</t>
  </si>
  <si>
    <t>012.4</t>
  </si>
  <si>
    <t>Exame citológico cervico-vaginal com processamento automatizado em camada fina</t>
  </si>
  <si>
    <t>013.2</t>
  </si>
  <si>
    <t>Exame citológico não cervico-vaginal, com processamento automatizado em camada fina</t>
  </si>
  <si>
    <t>Diagnóstico por Histopatologia</t>
  </si>
  <si>
    <t>014.0</t>
  </si>
  <si>
    <t>Exame histológico, fragmentos de biopsia com processamento rápido</t>
  </si>
  <si>
    <t>015.9</t>
  </si>
  <si>
    <t>Exame macroscópico e histológico de produto de biopsia incisional ou excisional, raspagem, curetagem ou de eliminação espontânea</t>
  </si>
  <si>
    <t>Exame macroscópico e histológico de peça de ressecção cirúrgica ou de feto com 11 semanas ou menos</t>
  </si>
  <si>
    <t>Exame macroscópico e histológico de peça de ressecção cirúrgica com dissecção ganglionar e/ou avaliação da margem circunferencial e/ou mapeamento</t>
  </si>
  <si>
    <t>005.1</t>
  </si>
  <si>
    <t>Exame extemporâneo</t>
  </si>
  <si>
    <t>Exames Especiais</t>
  </si>
  <si>
    <t>007.8</t>
  </si>
  <si>
    <t>Imunocito(histo)química, cada anticorpo</t>
  </si>
  <si>
    <t>006.0</t>
  </si>
  <si>
    <t>Exame por microscopia eletrónica</t>
  </si>
  <si>
    <t>Os códigos com preço igual a zero consideram-se suspensos. O preço está em estudo.</t>
  </si>
  <si>
    <t>TABELA DA ÁREA C - CARDIOLOGIA</t>
  </si>
  <si>
    <t>002.7</t>
  </si>
  <si>
    <t>003.5</t>
  </si>
  <si>
    <t>Prova de esforço em bicicleta ergométrica ou em tapete rolante com monitorização eletrocardiográfica contínua, registo de ECG em cada estadio</t>
  </si>
  <si>
    <t>Registo de Holter até 24 horas com análise interativa do perfil rítmico e do segmento ST, podendo incluir variabilidade da frequência cardíaca</t>
  </si>
  <si>
    <t>1541.3</t>
  </si>
  <si>
    <t>Ecocardiograma transtorácico bidimensional (sem doppler)</t>
  </si>
  <si>
    <t>1530.4</t>
  </si>
  <si>
    <t>Ecocardiograma transtorácico bidimensional (com doppler)</t>
  </si>
  <si>
    <t>1542.3</t>
  </si>
  <si>
    <t>Ecocardiografia transtorácica de sobrecarga com exercício, sem recurso a fármacos</t>
  </si>
  <si>
    <t>1548.3</t>
  </si>
  <si>
    <t>Ecocardiograma com estudo doppler tecidular</t>
  </si>
  <si>
    <t>Análise eletrónica e programação de sistema pacemaker permanente</t>
  </si>
  <si>
    <t>1543.3</t>
  </si>
  <si>
    <t>Monitorização da pressão arterial durante 24 horas, incluindo gravação e análise por scanning</t>
  </si>
  <si>
    <t>TABELA DA ÁREA D - MEDICINA NUCLEAR</t>
  </si>
  <si>
    <t>I - EXAMES</t>
  </si>
  <si>
    <t>Aparelho Cardiovascular</t>
  </si>
  <si>
    <t>039.6</t>
  </si>
  <si>
    <t>Cintigrafia miocárdica de perfusão em esforço/stress farmacológico</t>
  </si>
  <si>
    <t>040.0</t>
  </si>
  <si>
    <t>Cintigrafia miocárdica de perfusão em repouso</t>
  </si>
  <si>
    <t>Sistema Nervoso Central</t>
  </si>
  <si>
    <t>018.3</t>
  </si>
  <si>
    <t>Tomografia cerebral com 99mTc-HMPAO</t>
  </si>
  <si>
    <t>Aparelho Digestivo</t>
  </si>
  <si>
    <t>Cintigrafia das glândulas salivares</t>
  </si>
  <si>
    <t>Cintigrafia hepatobiliar</t>
  </si>
  <si>
    <t>Cintigrafia hepatobiliar com estimulação vesicular</t>
  </si>
  <si>
    <t>033.7</t>
  </si>
  <si>
    <t>Cintigrafia hepática com glóbulos vermelhos marcados</t>
  </si>
  <si>
    <t>024.8</t>
  </si>
  <si>
    <t>Sistema Musculoesquelético</t>
  </si>
  <si>
    <t>Cintigrafia óssea corpo inteiro</t>
  </si>
  <si>
    <t>Osteodensitometria da coluna lombar (ver tabela de Radiologia, código 1500.2)</t>
  </si>
  <si>
    <t>Osteodensitometria do colo femoral (ver tabela de Radiologia, código 1501.0)</t>
  </si>
  <si>
    <t>Osteodensitometria do punho (ver tabela de Radiologia, código 1502.9)</t>
  </si>
  <si>
    <t>Osteodensitometria da coluna lombar e do colo femoral (ver tabela de Radiologia, código 1503.7)</t>
  </si>
  <si>
    <t>Aparelho Respiratório</t>
  </si>
  <si>
    <t>Cintigrafia pulmonar de perfusão</t>
  </si>
  <si>
    <t>Cintigrafia pulmonar ventilação/inalação</t>
  </si>
  <si>
    <t>Glândulas Endócrinas</t>
  </si>
  <si>
    <t>Cintigrafia da tiroideia</t>
  </si>
  <si>
    <t>Aparelho Urinário</t>
  </si>
  <si>
    <t>028.0</t>
  </si>
  <si>
    <t>Intervenção farmacológica - prova diurética (acresce ao renograma)</t>
  </si>
  <si>
    <t>029.9</t>
  </si>
  <si>
    <t>Intervenção farmacológica - prova de captopril (acresce ao renograma)</t>
  </si>
  <si>
    <t>Cistocintigrafia direta</t>
  </si>
  <si>
    <t>a) A entrada em vigor deste código carece de elaboração de norma de orientação clínica da Direção-Geral da Saúde</t>
  </si>
  <si>
    <t>Nota. - O preço inclui o radiofármaco/produto administrado.</t>
  </si>
  <si>
    <t>TABELA DA ÁREA E - ELECTROENCEFALOGRAFIA</t>
  </si>
  <si>
    <t>Eletroencefalografia</t>
  </si>
  <si>
    <t>019.1</t>
  </si>
  <si>
    <t>EEG de rotina (inclui canal de ECG, prova de hiperpneia e ELI)</t>
  </si>
  <si>
    <t>EEG de rotina, fora do laboratório</t>
  </si>
  <si>
    <t>Cartografia de EEG (adicional ao registo)</t>
  </si>
  <si>
    <t>EEG de rotina com prova de sono</t>
  </si>
  <si>
    <t>TABELA DA ÁREA F - ENDOSCOPIA GASTRENTEROLÓGICA</t>
  </si>
  <si>
    <t>Serviços de Gastrenterologia</t>
  </si>
  <si>
    <t>Técnicas endoscópicas complementares</t>
  </si>
  <si>
    <t>Todos os códigos deste capítulo são adicionáveis ao procedimento endoscópico (um ou mais códigos) e correspondem a uma sessão</t>
  </si>
  <si>
    <t>Biopsias transendoscópicas (acresce ao valor da endoscopia)</t>
  </si>
  <si>
    <t>Pesquisa de Helicobacter pylori na biopsia (Teste de Urease)</t>
  </si>
  <si>
    <t>Sedação efetuada por gastrenterologista</t>
  </si>
  <si>
    <t>Tatuagem cólica</t>
  </si>
  <si>
    <t>Técnicas terapêuticas endoscópicas complementares</t>
  </si>
  <si>
    <t>Códigos a adicionar ao procedimento endoscópico</t>
  </si>
  <si>
    <t>Aplicação de "clips" (cada sessão)</t>
  </si>
  <si>
    <t>Injeção endoscópica de fármacos</t>
  </si>
  <si>
    <t>Polipectomia, por sessão (a adicionar ao exame endoscópico)</t>
  </si>
  <si>
    <t>Terapêutica por Argon Plasma</t>
  </si>
  <si>
    <t>Serviços de Endoscopia</t>
  </si>
  <si>
    <t>100.7</t>
  </si>
  <si>
    <t>Colonoscopia, pacote de procedimentos (pode incluir um ou mais dos códigos seguintes 101.5 a 108.2; os códigos 101.5 e 102.3 são mutuamente exclusivos)</t>
  </si>
  <si>
    <t>101.5</t>
  </si>
  <si>
    <t>Colonoscopia total</t>
  </si>
  <si>
    <t>102.3</t>
  </si>
  <si>
    <t>Colonoscopia esquerda</t>
  </si>
  <si>
    <t>Biopsias transendoscópicas</t>
  </si>
  <si>
    <t>Polipectomia, por sessão</t>
  </si>
  <si>
    <t>108.2</t>
  </si>
  <si>
    <t>O código 109.0 acresce ao pacote de colonoscopia se efetuado. A entidade convencionada regista este código apenas no caso de prescrição do código 100.7, no local reservado a procedimentos efetuados e não prescritos.</t>
  </si>
  <si>
    <t>Sedar/analgesiar (sedação superficial ou profunda)</t>
  </si>
  <si>
    <t>Endoscopia alta</t>
  </si>
  <si>
    <t>Retoscopia rígida</t>
  </si>
  <si>
    <t>Retosigmoidoscopia flexível</t>
  </si>
  <si>
    <t>N/D - Não disponível</t>
  </si>
  <si>
    <t>TABELA DA ÁREA G - MEDICINA FISICA E DE REABILITAÇÃO</t>
  </si>
  <si>
    <t>Atos complementares de diagnóstico</t>
  </si>
  <si>
    <t>Primeira consulta em medicina física e de reabilitação</t>
  </si>
  <si>
    <t>Consulta subsequente em medicina física e de reabilitação</t>
  </si>
  <si>
    <t>b)</t>
  </si>
  <si>
    <t>004.3</t>
  </si>
  <si>
    <t>Consulta de avaliação final em medicina física e de reabilitação</t>
  </si>
  <si>
    <t>Estudos específicos</t>
  </si>
  <si>
    <t>1535.5</t>
  </si>
  <si>
    <t>Estudo da marcha com plataforma elétrica e registo</t>
  </si>
  <si>
    <t>201.1</t>
  </si>
  <si>
    <t>Exame muscular com registo gráfico</t>
  </si>
  <si>
    <t>Goniometria elétrica</t>
  </si>
  <si>
    <t>Raquimetria</t>
  </si>
  <si>
    <t>Provas funcionais respiratórias</t>
  </si>
  <si>
    <t>Espirometria, incluindo gráficos, curva débito volume, capacidade vital, volume expiratório máximo no 1.º segundo, débito expiratório máximo e médio e ventilação voluntária máxima por minuto (ver tabela de Pneumologia, código 1504.5)</t>
  </si>
  <si>
    <t>Capacidade residual funcional ou volume residual (hélio/azoto) (ver tabela de Pneumologia, código 1505.3)</t>
  </si>
  <si>
    <t>Estudo da resistência das vias aéreas e volume de gás intratorácico por pletismografia corporal (ver tabela de Pneumologia, código 1506.1)</t>
  </si>
  <si>
    <t>Prova de broncodilatação (acresce à prova basal) (ver tabela de Pneumologia, código 1507.0)</t>
  </si>
  <si>
    <t>Prova de broncoconstrição com água destilada/soluto hipertónico (acresce à prova basal) (ver tabela de Pneumologia, código 1508.8)</t>
  </si>
  <si>
    <t>Prova de broncoconstrição de esforço, com bicicleta ou tapete rolante (acresce à prova basal) (ver tabela de Pneumologia, código 1510.0)</t>
  </si>
  <si>
    <t>Prova de broncoconstrição com metacolina (acresce à prova basal) (ver tabela de Pneumologia, código 1512.6)</t>
  </si>
  <si>
    <t>Prova de broncoconstrição específica com alergénios (acresce à prova basal) (ver tabela de Pneumologia, código 026.4)</t>
  </si>
  <si>
    <t>Capacidade de difusão do CO por respiração única (ver tabela de Pneumologia, código 1514.2)</t>
  </si>
  <si>
    <t>Capacidade de difusão do CO por equilíbrio estável (ver tabela de Pneumologia, código 1515.0)</t>
  </si>
  <si>
    <t>Prova de exercício com avaliação de parâmetros cardiorrespiratórios em tapete rolante ou bicicleta ergonómica (ver tabela de Pneumologia, código 1517.7)</t>
  </si>
  <si>
    <t>Eletroterapia</t>
  </si>
  <si>
    <t>026.4</t>
  </si>
  <si>
    <t>Corrente contínua</t>
  </si>
  <si>
    <t>204.6</t>
  </si>
  <si>
    <t>Corrente de baixa frequência</t>
  </si>
  <si>
    <t>205.4</t>
  </si>
  <si>
    <t>Corrente de média frequência</t>
  </si>
  <si>
    <t>Corrente de alta frequência (micro-ondas)</t>
  </si>
  <si>
    <t>Corrente de alta frequência (ondas curtas)</t>
  </si>
  <si>
    <t>023.0</t>
  </si>
  <si>
    <t>Estimulação elétrica neuromuscular, por grupo muscular</t>
  </si>
  <si>
    <t>034.5</t>
  </si>
  <si>
    <t>Magnetoterapia</t>
  </si>
  <si>
    <t>Vibroterapia</t>
  </si>
  <si>
    <t>206.2</t>
  </si>
  <si>
    <t>Ultrassonoterapia</t>
  </si>
  <si>
    <t>Fototerapia</t>
  </si>
  <si>
    <t>Radiações infravermelhas</t>
  </si>
  <si>
    <t>041.8</t>
  </si>
  <si>
    <t>Radiações ultravioletas</t>
  </si>
  <si>
    <t>Termoterapia</t>
  </si>
  <si>
    <t>Crioterapia</t>
  </si>
  <si>
    <t>045.0</t>
  </si>
  <si>
    <t>Terapia por calor húmido</t>
  </si>
  <si>
    <t>Parafinoterapia</t>
  </si>
  <si>
    <t>Parafangoterapia</t>
  </si>
  <si>
    <t>Hidrocinesibalneoterapia</t>
  </si>
  <si>
    <t>Hidrocinesiterapia individual em piscina</t>
  </si>
  <si>
    <t>061.2</t>
  </si>
  <si>
    <t>Hidrocinesiterapia coletiva em piscina</t>
  </si>
  <si>
    <t>057.4</t>
  </si>
  <si>
    <t>Hidromassagem</t>
  </si>
  <si>
    <t>073.6</t>
  </si>
  <si>
    <t>Banho de contraste</t>
  </si>
  <si>
    <t>077.9</t>
  </si>
  <si>
    <t>Banho de turbilhão</t>
  </si>
  <si>
    <t>Banhos especiais</t>
  </si>
  <si>
    <t>Duches</t>
  </si>
  <si>
    <t>Hidrocinesiterapia individual em tanque</t>
  </si>
  <si>
    <t>063.9</t>
  </si>
  <si>
    <t>Treino em tanque de marcha</t>
  </si>
  <si>
    <t>Massoterapia</t>
  </si>
  <si>
    <t>Massagem manual de uma região</t>
  </si>
  <si>
    <t>Massagem manual de mais de uma região</t>
  </si>
  <si>
    <t>059.0</t>
  </si>
  <si>
    <t>Massagem subaquática</t>
  </si>
  <si>
    <t>211.9</t>
  </si>
  <si>
    <t>Vibromassagem</t>
  </si>
  <si>
    <t>Cinesiterapia</t>
  </si>
  <si>
    <t>1528.2</t>
  </si>
  <si>
    <t>Cinesiterapia respiratória</t>
  </si>
  <si>
    <t>Cinesiterapia vertebral</t>
  </si>
  <si>
    <t>099.0</t>
  </si>
  <si>
    <t>Cinesiterapia corretiva postural</t>
  </si>
  <si>
    <t>Cinesiterapia pré e pós-parto, em grupo</t>
  </si>
  <si>
    <t>213.5</t>
  </si>
  <si>
    <t>Fortalecimento muscular manual</t>
  </si>
  <si>
    <t>Mobilização articular manual</t>
  </si>
  <si>
    <t>Técnicas especiais de cinesiterapia</t>
  </si>
  <si>
    <t>Treino de equilíbrio e marcha</t>
  </si>
  <si>
    <t>110.4</t>
  </si>
  <si>
    <t>Cinesiterapia em grupo</t>
  </si>
  <si>
    <t>Reeducação funcional de cada membro</t>
  </si>
  <si>
    <t>103.1</t>
  </si>
  <si>
    <t>Drenagem postural</t>
  </si>
  <si>
    <t>Ventiloterapia</t>
  </si>
  <si>
    <t>1524.0</t>
  </si>
  <si>
    <t>Aerossóis</t>
  </si>
  <si>
    <t>1525.8</t>
  </si>
  <si>
    <t>Aerossóis ultrassónicos</t>
  </si>
  <si>
    <t>1526.6</t>
  </si>
  <si>
    <t>Mobilização de secreções com flutter</t>
  </si>
  <si>
    <t>1537.1</t>
  </si>
  <si>
    <t>Oxigenoterapia</t>
  </si>
  <si>
    <t>Mecanoterapia</t>
  </si>
  <si>
    <t>122.8</t>
  </si>
  <si>
    <t>Tração vertebral mecânica</t>
  </si>
  <si>
    <t>Tração vertebral motorizada</t>
  </si>
  <si>
    <t>125.2</t>
  </si>
  <si>
    <t>Pressões intermitentes</t>
  </si>
  <si>
    <t>222.4</t>
  </si>
  <si>
    <t>Pressões intermitentes sequenciais</t>
  </si>
  <si>
    <t>218.6</t>
  </si>
  <si>
    <t>Fortalecimento muscular/mobilização articular</t>
  </si>
  <si>
    <t>Treinos terapêuticos</t>
  </si>
  <si>
    <t>220.8</t>
  </si>
  <si>
    <t>Treino de utilização de prótese do membro inferior</t>
  </si>
  <si>
    <t>Treino de utilização de prótese do membro superior</t>
  </si>
  <si>
    <t>115.5</t>
  </si>
  <si>
    <t>Treino de utilização de ortótese</t>
  </si>
  <si>
    <t>130.9</t>
  </si>
  <si>
    <t>Treino em atividades de vida diária</t>
  </si>
  <si>
    <t>1518.5</t>
  </si>
  <si>
    <t>1519.3</t>
  </si>
  <si>
    <t>Qualquer dos códigos de terapia da fala quando em grupo</t>
  </si>
  <si>
    <t>Terapia ocupacional</t>
  </si>
  <si>
    <t>131.7</t>
  </si>
  <si>
    <t>Técnicas terapêuticas médicas</t>
  </si>
  <si>
    <t>Manipulação</t>
  </si>
  <si>
    <t>b) Este código é registado apenas para efeitos estatísticos.</t>
  </si>
  <si>
    <t>TABELA DA ÁREA H - OTORRINOLARINGOLOGIA</t>
  </si>
  <si>
    <t>Audiometria</t>
  </si>
  <si>
    <t>Audiograma tonal simples</t>
  </si>
  <si>
    <t>Audiograma vocal</t>
  </si>
  <si>
    <t>137.6</t>
  </si>
  <si>
    <t>Acufenometria</t>
  </si>
  <si>
    <t>Audiometria tonal até 5 anos de idade</t>
  </si>
  <si>
    <t>Audiometria vocal até 10 anos de idade</t>
  </si>
  <si>
    <t>Impedanciometria</t>
  </si>
  <si>
    <t>Timpanograma</t>
  </si>
  <si>
    <t>Pesquisa de reflexos acústicos ipsi-laterais ou contra-laterais</t>
  </si>
  <si>
    <t>Pesquisa do "Decay" do reflexo bilateral</t>
  </si>
  <si>
    <t>Pesquisa de reflexos não acústicos</t>
  </si>
  <si>
    <t>Estudo timpanométrico do funcionamento da trompa auditiva</t>
  </si>
  <si>
    <t>Estudo impedanciométrico completo (inclui os códigos 012.4, 013.2, 014.0 e outras provas suplementares)</t>
  </si>
  <si>
    <t>Audiometria de respostas elétricas evocadas, inclui traçado e relatório</t>
  </si>
  <si>
    <t>Eletrococleografia (Ecog)</t>
  </si>
  <si>
    <t>Respostas de tronco cerebral (PEA)</t>
  </si>
  <si>
    <t>Respostas semiprecoces</t>
  </si>
  <si>
    <t>Potenciais de longa latência (P 300 ou outros) (ver tabela de Neurofisiologia, código 1540.1)</t>
  </si>
  <si>
    <t>Reabilitação auditiva</t>
  </si>
  <si>
    <t>Otimização de ganho auditivo (performance eletroacústica das próteses auditivas "in situ")</t>
  </si>
  <si>
    <t>Vestibulometria, com traçado e relatório</t>
  </si>
  <si>
    <t>064.7</t>
  </si>
  <si>
    <t>Testes calóricos vestibulares</t>
  </si>
  <si>
    <t>Estudo da marcha com plataforma elétrica e registo (ver tabela de Medicina Física e de Reabilitação, código 1535.5)</t>
  </si>
  <si>
    <t>Exame vestibular completo por ENG ou VNG computorizada (inclui nistagmo espontâneo e posicional, provas calóricas, optocinéticas, rotatórias e de perseguição)</t>
  </si>
  <si>
    <t>097.3</t>
  </si>
  <si>
    <t>Endoscopia nasal</t>
  </si>
  <si>
    <t>Sinusoscopia</t>
  </si>
  <si>
    <t>Nasofaringolaringoscopia</t>
  </si>
  <si>
    <t>Laringologia</t>
  </si>
  <si>
    <t>Estroboscopia (inclui laringoscopia)</t>
  </si>
  <si>
    <t>051.5</t>
  </si>
  <si>
    <t>Análise computorizada da voz</t>
  </si>
  <si>
    <t>Terapia da fala (ver tabela de MFR, código 1518.5)</t>
  </si>
  <si>
    <t>Qualquer dos códigos de terapia da fala quando em grupo (ver tabela de MFR, código 1519.3)</t>
  </si>
  <si>
    <t>Rinologia</t>
  </si>
  <si>
    <t>126.0</t>
  </si>
  <si>
    <t>Rinometria computorizada</t>
  </si>
  <si>
    <t>Rinometria computorizada com provas de provocação nasal</t>
  </si>
  <si>
    <t>Testes por picada (Prick) - reação de hipersensibilidade imediata, com um mínimo de 15 extratos alergénicos, incluindo controlo positivo e diluente (ver tabela de Imunoalergologia, código 1520.7)</t>
  </si>
  <si>
    <t>Outros exames</t>
  </si>
  <si>
    <t>128.7</t>
  </si>
  <si>
    <t>Eletroneuronografia computorizada (três avaliações sucessivas)</t>
  </si>
  <si>
    <t>Estudo eletromiográfico dos membros superiores ou dos membros inferiores ou de um território específico (inclui estimulação repetitiva), no laboratório (ver tabela de Neurofisiologia, código 1538.0)</t>
  </si>
  <si>
    <t>Estudo eletromiográfico dos membros superiores e dos membros inferiores, no laboratório (ver tabela de Neurofisiologia, código 1539.8)</t>
  </si>
  <si>
    <t>070.1</t>
  </si>
  <si>
    <t>Eletrogustometria</t>
  </si>
  <si>
    <t>Outros procedimentos</t>
  </si>
  <si>
    <t>081.7</t>
  </si>
  <si>
    <t>Exames/atos realizados sob anestesia geral</t>
  </si>
  <si>
    <t>Biopsia ganglionar</t>
  </si>
  <si>
    <t>Biopsia com pinça ou agulha, gengival</t>
  </si>
  <si>
    <t>132.5</t>
  </si>
  <si>
    <t>Biopsia de tecidos moles</t>
  </si>
  <si>
    <t>Biopsia com pinça ou agulha, orofaringe</t>
  </si>
  <si>
    <t>134.1</t>
  </si>
  <si>
    <t>Biopsia com pinça ou agulha, nasofaringe</t>
  </si>
  <si>
    <t>135.0</t>
  </si>
  <si>
    <t>Biopsia com pinça ou agulha, laringe</t>
  </si>
  <si>
    <t>136.8</t>
  </si>
  <si>
    <t>Biopsia com pinça ou agulha, nariz</t>
  </si>
  <si>
    <t>Microcirurgia laríngea convencional (lesões congénitas e lesões minor da laringe)</t>
  </si>
  <si>
    <t>TABELA DA ÁREA J - UROLOGIA</t>
  </si>
  <si>
    <t>URETER (acresce apoio imagiológico e contraste)</t>
  </si>
  <si>
    <t>1529.0</t>
  </si>
  <si>
    <t>Colocação endoscópica retrógrada de tutor/cateter ureteral (unilateral)</t>
  </si>
  <si>
    <t>Bexiga e Uretra</t>
  </si>
  <si>
    <t>Uretrocistoscopia</t>
  </si>
  <si>
    <t>Ecografia renal e suprarrenal (ver tabela de Radiologia, código 1531.2)</t>
  </si>
  <si>
    <t>Ecografia prostática e das vesículas seminais, por via endocavitária (ver tabela de Radiologia, código 1532.0)</t>
  </si>
  <si>
    <t>Ecografia escrotal (ver tabela de Radiologia, código 1533.9)</t>
  </si>
  <si>
    <t>Urodinâmica</t>
  </si>
  <si>
    <t>Cistometria</t>
  </si>
  <si>
    <t>Perfilometria uretral</t>
  </si>
  <si>
    <t>TABELA DA ÁREA I - TABELA DE PNEUMOLOGIA E TABELA DE IMUNOALERGOLOGIA</t>
  </si>
  <si>
    <t>Tabela de Pneumologia</t>
  </si>
  <si>
    <t>1. Fisiopatologia respiratória</t>
  </si>
  <si>
    <t>1504.5</t>
  </si>
  <si>
    <t>Espirometria, incluindo curva débito volume</t>
  </si>
  <si>
    <t>1505.3</t>
  </si>
  <si>
    <t>Capacidade residual funcional ou volume residual (hélio/azoto)</t>
  </si>
  <si>
    <t>1506.1</t>
  </si>
  <si>
    <t>Pletismografia corporal: estudo da resistência das vias aéreas e volume de gás intratorácico</t>
  </si>
  <si>
    <t>1507.0</t>
  </si>
  <si>
    <t>Prova de broncodilatação (acresce à prova basal)</t>
  </si>
  <si>
    <t>1508.8</t>
  </si>
  <si>
    <t>Prova de broncoconstrição com água destilada/soluto hipertónico (acresce à prova basal)</t>
  </si>
  <si>
    <t>1510.0</t>
  </si>
  <si>
    <t>Prova de broncoconstrição de esforço, com bicicleta ou tapete rolante (acresce à prova basal)</t>
  </si>
  <si>
    <t>1512.6</t>
  </si>
  <si>
    <t>Prova de broncoconstrição com metacolina (acresce à prova basal)</t>
  </si>
  <si>
    <t>1513.4</t>
  </si>
  <si>
    <t>Prova de broncoconstrição específica com alergénios (acresce à prova basal)</t>
  </si>
  <si>
    <t>1514.2</t>
  </si>
  <si>
    <t>Capacidade de difusão do CO por respiração única</t>
  </si>
  <si>
    <t>1515.0</t>
  </si>
  <si>
    <t>Capacidade de difusão do CO por equilíbrio estável</t>
  </si>
  <si>
    <t>1517.7</t>
  </si>
  <si>
    <t>Prova de exercício com avaliação de parâmetros cardiorrespiratórios em tapete rolante ou bicicleta ergonómica</t>
  </si>
  <si>
    <t>Gasimetria (pH, pCO2, pO2, SatO2, CO2, ...), ver tabela de Análises Clínicas, Bioquímica, código 1523.1</t>
  </si>
  <si>
    <t>2. Ventilação não invasiva</t>
  </si>
  <si>
    <t>168.6</t>
  </si>
  <si>
    <t>Ventilação com pressão positiva contínua (CPAP), por cada dia (inclui oximetria)</t>
  </si>
  <si>
    <t>169.4</t>
  </si>
  <si>
    <t>Ventilação com pressão positiva contínua (binível ou outra modalidade), por cada dia (inclui oximetria)</t>
  </si>
  <si>
    <t>170.8</t>
  </si>
  <si>
    <t>Adaptação e aferição a ventilação com pressão positiva contínua (CPAP) (inclui oximetria e gasimetria)</t>
  </si>
  <si>
    <t>171.6</t>
  </si>
  <si>
    <t>Adaptação e aferição a ventilação com pressão positiva contínua (binível ou outra modalidade) (inclui oximetria e gasimetria)</t>
  </si>
  <si>
    <t>3. Terapêutica inalatória</t>
  </si>
  <si>
    <t>Aerossóis (ver tabela de MFR, código 1524.0)</t>
  </si>
  <si>
    <t>Aerossóis ultrassónicos (ver tabela de MFR, código 1525.8)</t>
  </si>
  <si>
    <t>4. Técnicas endoscópicas</t>
  </si>
  <si>
    <t>4.1. Técnicas endoscópicas diagnósticas</t>
  </si>
  <si>
    <t>As biopsias acrescem às técnicas base</t>
  </si>
  <si>
    <t>154.6</t>
  </si>
  <si>
    <t>Broncoscopia rígida</t>
  </si>
  <si>
    <t>155.4</t>
  </si>
  <si>
    <t>Broncofibroscopia</t>
  </si>
  <si>
    <t>156.2</t>
  </si>
  <si>
    <t>Videobroncofibroscopia</t>
  </si>
  <si>
    <t>043.8</t>
  </si>
  <si>
    <t>044.2</t>
  </si>
  <si>
    <t>Mediastinoscopia cervical</t>
  </si>
  <si>
    <t>160.0</t>
  </si>
  <si>
    <t>Biopsia pulmonar transbrônquica</t>
  </si>
  <si>
    <t>Biopsia pulmonar por toracoscopia</t>
  </si>
  <si>
    <t>162.7</t>
  </si>
  <si>
    <t>Biopsia por punção - tru-cut (acresce apoio de fluoroscopia, ecografia, tomografia - ver tabela de Radiologia)</t>
  </si>
  <si>
    <t>164.3</t>
  </si>
  <si>
    <t>Biopsia pleural por toracoscopia</t>
  </si>
  <si>
    <t>165.1</t>
  </si>
  <si>
    <t>Biopsia endoscópica (acresce ao valor da endoscopia)</t>
  </si>
  <si>
    <t>4.2. Técnicas endoscópicas terapêuticas</t>
  </si>
  <si>
    <t>Extração de corpo estranho</t>
  </si>
  <si>
    <t>149.0</t>
  </si>
  <si>
    <t>Terapêutica com LASER</t>
  </si>
  <si>
    <t>150.3</t>
  </si>
  <si>
    <t>Terapêutica com eletrocautério</t>
  </si>
  <si>
    <t>5. Técnicas não endoscópicas</t>
  </si>
  <si>
    <t>166.0</t>
  </si>
  <si>
    <t>Toracocentese diagnóstica</t>
  </si>
  <si>
    <t>167.8</t>
  </si>
  <si>
    <t>Toracocentese evacuadora</t>
  </si>
  <si>
    <t>Toracostomia com drenagem subaquática</t>
  </si>
  <si>
    <t>163.5</t>
  </si>
  <si>
    <t>Biopsia pleural (acresce a toracocentese)</t>
  </si>
  <si>
    <t>Lavagem pleural</t>
  </si>
  <si>
    <t>6. Reabilitação respiratória</t>
  </si>
  <si>
    <t>Mobilização de secreções com flutter (ver tabela de MFR, código 1526.6)</t>
  </si>
  <si>
    <t>Oxigenoterapia (ver tabela de MFR, código 1537.1)</t>
  </si>
  <si>
    <t>Cinesiterapia respiratória (ver tabela de MFR, código 1528.2)</t>
  </si>
  <si>
    <t>8. Alergologia respiratória</t>
  </si>
  <si>
    <t>Testes por picada (Prick) - reação de hipersensibilidade imediata, desdobramento de alergenos. Cada série de 10 alergenos, incluindo controlo positivo e diluente (ver tabela de Imunoalergologia, código 1521.5)</t>
  </si>
  <si>
    <t>Testes por picada (Prick) - reação de hipersensibilidade imediata, método Prick-Prick, alimentos frescos, incluindo controlo positivo e diluente (ver tabela de Imunoalergologia, código 1522.3)</t>
  </si>
  <si>
    <t>Tabela de Imunoalergologia</t>
  </si>
  <si>
    <t>Provas de Sensibilidade Cutânea</t>
  </si>
  <si>
    <t>Testes por picada</t>
  </si>
  <si>
    <t>1520.7</t>
  </si>
  <si>
    <t>Testes por picada (Prick) - reação de hipersensibilidade imediata, com um mínimo de 15 extratos alergénicos, incluindo controlo positivo e diluente</t>
  </si>
  <si>
    <t>1521.5</t>
  </si>
  <si>
    <t>Testes por picada (Prick) - reação de hipersensibilidade imediata, desdobramento de alergenos. Cada série de 10 alergenos, incluindo controlo positivo e diluente</t>
  </si>
  <si>
    <t>1522.3</t>
  </si>
  <si>
    <t>Testes por picada (Prick) - reação de hipersensibilidade imediata, método Prick-Prick, alimentos frescos, incluindo controlo positivo e diluente</t>
  </si>
  <si>
    <t>Testes por picada (Prick) - reação de hipersensibilidade imediata, venenos</t>
  </si>
  <si>
    <t>Testes por picada (Prick) - reação de hipersensibilidade imediata, frações alergénicas de medicamentos</t>
  </si>
  <si>
    <t>Testes por picada (Prick) - reação de hipersensibilidade imediata, produtos biológicos ou outros medicamentos, incluindo controlo positivo e diluente</t>
  </si>
  <si>
    <t>Testes intradérmicos</t>
  </si>
  <si>
    <t>707.2</t>
  </si>
  <si>
    <t>Testes intradérmicos - reação de hipersensibilidade imediata a venenos</t>
  </si>
  <si>
    <t>708.0</t>
  </si>
  <si>
    <t>Testes intradérmicos - reação de hipersensibilidade imediata, a frações alergénicas de medicamentos</t>
  </si>
  <si>
    <t>709.9</t>
  </si>
  <si>
    <t>Testes intradérmicos - reação de hipersensibilidade imediata, outros medicamentos e produtos biológicos incluindo controlo positivo e diluente</t>
  </si>
  <si>
    <t>Testes intradérmicos - reação de hipersensibilidade imediata, com extratos alergénicos, cada série de 8 alergenos incluindo controlo positivo e diluente</t>
  </si>
  <si>
    <t>Provas de Provocação Oftálmica</t>
  </si>
  <si>
    <t>711.0</t>
  </si>
  <si>
    <t>Testes de provocação oftálmica - cada alergeno</t>
  </si>
  <si>
    <t>Provas de Função Respiratória</t>
  </si>
  <si>
    <t>Espirometria incluindo curva débito volume (ver tabela de Pneumologia, código 1504.5)</t>
  </si>
  <si>
    <t>Pletismografia corporal: estudo da resistência das vias aéreas e volume de gás intratorácico (ver tabela de Pneumologia, código 1506.1)</t>
  </si>
  <si>
    <t>Prova de broncoconstrição específica com alergénios (acresce à prova basal) (ver tabela de Pneumologia, código 1513.4)</t>
  </si>
  <si>
    <t>Aplicação de uma injeção de extratos alergénicos - monitorização e vigilância</t>
  </si>
  <si>
    <t>Aplicação de duas ou mais injeções de extratos alergénicos</t>
  </si>
  <si>
    <t>Aplicação de uma injeção de veneno de himenóptero</t>
  </si>
  <si>
    <t>Aplicação de duas injeções de veneno de himenóptero</t>
  </si>
  <si>
    <t>Aplicação de extratos de aeroalergenos por método de "rush" - mínimo de 4 injeções em concentrações crescentes</t>
  </si>
  <si>
    <t>Dessensibilização rápida a medicamentos - cada hora</t>
  </si>
  <si>
    <t>Aerossol terapêutico</t>
  </si>
  <si>
    <t>TABELA DA ÁREA L - NEUROFISIOLOGIA</t>
  </si>
  <si>
    <t>Potenciais Evocados Somatossensitivos e Sensoriais</t>
  </si>
  <si>
    <t>Potenciais evocados somatossensitivos, dos membros superiores e dos membros inferiores, no laboratório</t>
  </si>
  <si>
    <t>042.6</t>
  </si>
  <si>
    <t>Potenciais evocados auditivos do tronco cerebral adultos</t>
  </si>
  <si>
    <t>Potenciais evocados auditivos em crianças</t>
  </si>
  <si>
    <t>Potenciais evocados visuais ("flash" ou padrão)</t>
  </si>
  <si>
    <t>Potenciais evocados visuais, em crianças</t>
  </si>
  <si>
    <t>1540.1</t>
  </si>
  <si>
    <t>Potenciais de longa latência (P 300 ou outros)</t>
  </si>
  <si>
    <t>Potenciais evocados, com cartografia</t>
  </si>
  <si>
    <t>Eletromiografia</t>
  </si>
  <si>
    <t>1538.0</t>
  </si>
  <si>
    <t>Estudo eletromiográfico dos membros superiores ou dos membros inferiores ou de um território específico (inclui estimulação repetitiva), no laboratório</t>
  </si>
  <si>
    <t>1539.8</t>
  </si>
  <si>
    <t>Estudo eletromiográfico dos membros superiores e dos membros inferiores, no laboratório</t>
  </si>
  <si>
    <t>Monitorização Neurofisiológica Intraoperatória</t>
  </si>
  <si>
    <t>Monitorização neurofisiológica intraoperatória, com eletroencefalografia</t>
  </si>
  <si>
    <t>021.3</t>
  </si>
  <si>
    <t>035.3</t>
  </si>
  <si>
    <t>038.8</t>
  </si>
  <si>
    <t>060.4</t>
  </si>
  <si>
    <t>065.5</t>
  </si>
  <si>
    <t>066.3</t>
  </si>
  <si>
    <t>067.1</t>
  </si>
  <si>
    <t>074.4</t>
  </si>
  <si>
    <t>075.2</t>
  </si>
  <si>
    <t>076.0</t>
  </si>
  <si>
    <t>078.7</t>
  </si>
  <si>
    <t>082.5</t>
  </si>
  <si>
    <t>083.3</t>
  </si>
  <si>
    <t>058.2</t>
  </si>
  <si>
    <t>087.6</t>
  </si>
  <si>
    <t>092.2</t>
  </si>
  <si>
    <t>095.7</t>
  </si>
  <si>
    <t>096.5</t>
  </si>
  <si>
    <t>069.8</t>
  </si>
  <si>
    <t>071.0</t>
  </si>
  <si>
    <t>072.8</t>
  </si>
  <si>
    <t>117.1</t>
  </si>
  <si>
    <t>118.0</t>
  </si>
  <si>
    <t>121.0</t>
  </si>
  <si>
    <t>123.6</t>
  </si>
  <si>
    <t>124.4</t>
  </si>
  <si>
    <t>140.6</t>
  </si>
  <si>
    <t>143.0</t>
  </si>
  <si>
    <t>145.7</t>
  </si>
  <si>
    <t>152.0</t>
  </si>
  <si>
    <t>175.9</t>
  </si>
  <si>
    <t>176.7</t>
  </si>
  <si>
    <t>177.5</t>
  </si>
  <si>
    <t>178.3</t>
  </si>
  <si>
    <t>181.3</t>
  </si>
  <si>
    <t>183.0</t>
  </si>
  <si>
    <t>193.7</t>
  </si>
  <si>
    <t>199.6</t>
  </si>
  <si>
    <t>200.3</t>
  </si>
  <si>
    <t>203.8</t>
  </si>
  <si>
    <t>207.0</t>
  </si>
  <si>
    <t>210.0</t>
  </si>
  <si>
    <t>212.7</t>
  </si>
  <si>
    <t>214.3</t>
  </si>
  <si>
    <t>216.0</t>
  </si>
  <si>
    <t>217.8</t>
  </si>
  <si>
    <t>219.4</t>
  </si>
  <si>
    <t>223.2</t>
  </si>
  <si>
    <t>224.0</t>
  </si>
  <si>
    <t>225.9</t>
  </si>
  <si>
    <t>226.7</t>
  </si>
  <si>
    <t>227.5</t>
  </si>
  <si>
    <t>228.3</t>
  </si>
  <si>
    <t>231.3</t>
  </si>
  <si>
    <t>232.1</t>
  </si>
  <si>
    <t>233.0</t>
  </si>
  <si>
    <t>234.8</t>
  </si>
  <si>
    <t>237.2</t>
  </si>
  <si>
    <t>239.9</t>
  </si>
  <si>
    <t>240.2</t>
  </si>
  <si>
    <t>245.3</t>
  </si>
  <si>
    <t>250.0</t>
  </si>
  <si>
    <t>254.2</t>
  </si>
  <si>
    <t>270.4</t>
  </si>
  <si>
    <t>271.2</t>
  </si>
  <si>
    <t>273.9</t>
  </si>
  <si>
    <t>274.7</t>
  </si>
  <si>
    <t>275.5</t>
  </si>
  <si>
    <t>277.1</t>
  </si>
  <si>
    <t>278.0</t>
  </si>
  <si>
    <t>279.8</t>
  </si>
  <si>
    <t>280.1</t>
  </si>
  <si>
    <t>282.8</t>
  </si>
  <si>
    <t>283.6</t>
  </si>
  <si>
    <t>286.0</t>
  </si>
  <si>
    <t>288.7</t>
  </si>
  <si>
    <t>289.5</t>
  </si>
  <si>
    <t>293.3</t>
  </si>
  <si>
    <t>297.6</t>
  </si>
  <si>
    <t>298.4</t>
  </si>
  <si>
    <t>299.2</t>
  </si>
  <si>
    <t>300.0</t>
  </si>
  <si>
    <t>301.8</t>
  </si>
  <si>
    <t>302.6</t>
  </si>
  <si>
    <t>303.4</t>
  </si>
  <si>
    <t>351.4</t>
  </si>
  <si>
    <t>352.2</t>
  </si>
  <si>
    <t>400.6</t>
  </si>
  <si>
    <t>401.4</t>
  </si>
  <si>
    <t>404.9</t>
  </si>
  <si>
    <t>406.5</t>
  </si>
  <si>
    <t>407.3</t>
  </si>
  <si>
    <t>410.3</t>
  </si>
  <si>
    <t>411.1</t>
  </si>
  <si>
    <t>413.8</t>
  </si>
  <si>
    <t>414.6</t>
  </si>
  <si>
    <t>416.2</t>
  </si>
  <si>
    <t>418.9</t>
  </si>
  <si>
    <t>419.7</t>
  </si>
  <si>
    <t>420.0</t>
  </si>
  <si>
    <t>421.9</t>
  </si>
  <si>
    <t>422.7</t>
  </si>
  <si>
    <t>1136.8</t>
  </si>
  <si>
    <t>1137.6</t>
  </si>
  <si>
    <t>429.4</t>
  </si>
  <si>
    <t>432.4</t>
  </si>
  <si>
    <t>1141.4</t>
  </si>
  <si>
    <t>433.2</t>
  </si>
  <si>
    <t>434.0</t>
  </si>
  <si>
    <t>435.9</t>
  </si>
  <si>
    <t>436.7</t>
  </si>
  <si>
    <t>437.5</t>
  </si>
  <si>
    <t>438.3</t>
  </si>
  <si>
    <t>440.5</t>
  </si>
  <si>
    <t>441.3</t>
  </si>
  <si>
    <t>442.1</t>
  </si>
  <si>
    <t>443.0</t>
  </si>
  <si>
    <t>444.8</t>
  </si>
  <si>
    <t>449.9</t>
  </si>
  <si>
    <t>450.2</t>
  </si>
  <si>
    <t>453.7</t>
  </si>
  <si>
    <t>457.0</t>
  </si>
  <si>
    <t>458.8</t>
  </si>
  <si>
    <t>461.8</t>
  </si>
  <si>
    <t>463.4</t>
  </si>
  <si>
    <t>464.2</t>
  </si>
  <si>
    <t>465.0</t>
  </si>
  <si>
    <t>466.9</t>
  </si>
  <si>
    <t>468.5</t>
  </si>
  <si>
    <t>469.3</t>
  </si>
  <si>
    <t>1175.9</t>
  </si>
  <si>
    <t>1176.7</t>
  </si>
  <si>
    <t>472.3</t>
  </si>
  <si>
    <t>1177.5</t>
  </si>
  <si>
    <t>473.1</t>
  </si>
  <si>
    <t>1178.3</t>
  </si>
  <si>
    <t>474.0</t>
  </si>
  <si>
    <t>475.8</t>
  </si>
  <si>
    <t>1180.5</t>
  </si>
  <si>
    <t>476.6</t>
  </si>
  <si>
    <t>1181.3</t>
  </si>
  <si>
    <t>1182.1</t>
  </si>
  <si>
    <t>1183.0</t>
  </si>
  <si>
    <t>479.0</t>
  </si>
  <si>
    <t>1184.8</t>
  </si>
  <si>
    <t>480.4</t>
  </si>
  <si>
    <t>1185.6</t>
  </si>
  <si>
    <t>1186.4</t>
  </si>
  <si>
    <t>482.8</t>
  </si>
  <si>
    <t>119.8</t>
  </si>
  <si>
    <t>1190.2</t>
  </si>
  <si>
    <t>1191.0</t>
  </si>
  <si>
    <t>1192.9</t>
  </si>
  <si>
    <t>1193.7</t>
  </si>
  <si>
    <t>487.1</t>
  </si>
  <si>
    <t>1194.5</t>
  </si>
  <si>
    <t>488.0</t>
  </si>
  <si>
    <t>1195.3</t>
  </si>
  <si>
    <t>489.8</t>
  </si>
  <si>
    <t>1196.1</t>
  </si>
  <si>
    <t>490.1</t>
  </si>
  <si>
    <t>1197.0</t>
  </si>
  <si>
    <t>492.8</t>
  </si>
  <si>
    <t>494.4</t>
  </si>
  <si>
    <t>1200.3</t>
  </si>
  <si>
    <t>495.2</t>
  </si>
  <si>
    <t>496.0</t>
  </si>
  <si>
    <t>1202.0</t>
  </si>
  <si>
    <t>497.9</t>
  </si>
  <si>
    <t>1203.8</t>
  </si>
  <si>
    <t>498.7</t>
  </si>
  <si>
    <t>1205.4</t>
  </si>
  <si>
    <t>1206.2</t>
  </si>
  <si>
    <t>1207.0</t>
  </si>
  <si>
    <t>1208.9</t>
  </si>
  <si>
    <t>1209.7</t>
  </si>
  <si>
    <t>504.5</t>
  </si>
  <si>
    <t>506.1</t>
  </si>
  <si>
    <t>508.8</t>
  </si>
  <si>
    <t>509.6</t>
  </si>
  <si>
    <t>510.0</t>
  </si>
  <si>
    <t>1215.1</t>
  </si>
  <si>
    <t>1216.0</t>
  </si>
  <si>
    <t>512.6</t>
  </si>
  <si>
    <t>1217.8</t>
  </si>
  <si>
    <t>513.4</t>
  </si>
  <si>
    <t>1218.6</t>
  </si>
  <si>
    <t>514.2</t>
  </si>
  <si>
    <t>1219.4</t>
  </si>
  <si>
    <t>515.0</t>
  </si>
  <si>
    <t>516.9</t>
  </si>
  <si>
    <t>1220.8</t>
  </si>
  <si>
    <t>517.7</t>
  </si>
  <si>
    <t>1221.6</t>
  </si>
  <si>
    <t>518.5</t>
  </si>
  <si>
    <t>520.7</t>
  </si>
  <si>
    <t>521.5</t>
  </si>
  <si>
    <t>1225.9</t>
  </si>
  <si>
    <t>528.2</t>
  </si>
  <si>
    <t>530.4</t>
  </si>
  <si>
    <t>532.0</t>
  </si>
  <si>
    <t>537.1</t>
  </si>
  <si>
    <t>260.7</t>
  </si>
  <si>
    <t>261.5</t>
  </si>
  <si>
    <t>262.3</t>
  </si>
  <si>
    <t>263.1</t>
  </si>
  <si>
    <t>264.0</t>
  </si>
  <si>
    <t>265.8</t>
  </si>
  <si>
    <t>1266.6</t>
  </si>
  <si>
    <t>266.6</t>
  </si>
  <si>
    <t>267.4</t>
  </si>
  <si>
    <t>268.2</t>
  </si>
  <si>
    <t>540.1</t>
  </si>
  <si>
    <t>1269.0</t>
  </si>
  <si>
    <t>269.0</t>
  </si>
  <si>
    <t>541.0</t>
  </si>
  <si>
    <t>544.4</t>
  </si>
  <si>
    <t>545.2</t>
  </si>
  <si>
    <t>129.5</t>
  </si>
  <si>
    <t>548.7</t>
  </si>
  <si>
    <t>549.5</t>
  </si>
  <si>
    <t>550.9</t>
  </si>
  <si>
    <t>551.7</t>
  </si>
  <si>
    <t>554.1</t>
  </si>
  <si>
    <t>138.4</t>
  </si>
  <si>
    <t>555.0</t>
  </si>
  <si>
    <t>139.2</t>
  </si>
  <si>
    <t>556.8</t>
  </si>
  <si>
    <t>558.4</t>
  </si>
  <si>
    <t>142.2</t>
  </si>
  <si>
    <t>561.4</t>
  </si>
  <si>
    <t>148.1</t>
  </si>
  <si>
    <t>562.2</t>
  </si>
  <si>
    <t>564.9</t>
  </si>
  <si>
    <t>565.7</t>
  </si>
  <si>
    <t>566.5</t>
  </si>
  <si>
    <t>567.3</t>
  </si>
  <si>
    <t>568.1</t>
  </si>
  <si>
    <t>157.0</t>
  </si>
  <si>
    <t>571.1</t>
  </si>
  <si>
    <t>158.9</t>
  </si>
  <si>
    <t>159.7</t>
  </si>
  <si>
    <t>574.6</t>
  </si>
  <si>
    <t>575.4</t>
  </si>
  <si>
    <t>576.2</t>
  </si>
  <si>
    <t>578.9</t>
  </si>
  <si>
    <t>174.0</t>
  </si>
  <si>
    <t>579.7</t>
  </si>
  <si>
    <t>581.9</t>
  </si>
  <si>
    <t>582.7</t>
  </si>
  <si>
    <t>583.5</t>
  </si>
  <si>
    <t>584.3</t>
  </si>
  <si>
    <t>586.0</t>
  </si>
  <si>
    <t>588.6</t>
  </si>
  <si>
    <t>184.8</t>
  </si>
  <si>
    <t>592.4</t>
  </si>
  <si>
    <t>593.2</t>
  </si>
  <si>
    <t>594.0</t>
  </si>
  <si>
    <t>595.9</t>
  </si>
  <si>
    <t>235.6</t>
  </si>
  <si>
    <t>236.4</t>
  </si>
  <si>
    <t>238.0</t>
  </si>
  <si>
    <t>241.0</t>
  </si>
  <si>
    <t>242.9</t>
  </si>
  <si>
    <t>246.1</t>
  </si>
  <si>
    <t>247.0</t>
  </si>
  <si>
    <t>248.8</t>
  </si>
  <si>
    <t>249.6</t>
  </si>
  <si>
    <t>258.5</t>
  </si>
  <si>
    <t>259.3</t>
  </si>
  <si>
    <t>272.0</t>
  </si>
  <si>
    <t>276.3</t>
  </si>
  <si>
    <t>281.0</t>
  </si>
  <si>
    <t>284.4</t>
  </si>
  <si>
    <t>287.9</t>
  </si>
  <si>
    <t>294.1</t>
  </si>
  <si>
    <t>312.3</t>
  </si>
  <si>
    <t>313.1</t>
  </si>
  <si>
    <t>314.0</t>
  </si>
  <si>
    <t>315.8</t>
  </si>
  <si>
    <t>316.6</t>
  </si>
  <si>
    <t>318.2</t>
  </si>
  <si>
    <t>319.0</t>
  </si>
  <si>
    <t>320.4</t>
  </si>
  <si>
    <t>321.2</t>
  </si>
  <si>
    <t>322.0</t>
  </si>
  <si>
    <t>324.7</t>
  </si>
  <si>
    <t>326.3</t>
  </si>
  <si>
    <t>327.1</t>
  </si>
  <si>
    <t>330.1</t>
  </si>
  <si>
    <t>331.0</t>
  </si>
  <si>
    <t>334.4</t>
  </si>
  <si>
    <t>335.2</t>
  </si>
  <si>
    <t>340.9</t>
  </si>
  <si>
    <t>341.7</t>
  </si>
  <si>
    <t>342.5</t>
  </si>
  <si>
    <t>343.3</t>
  </si>
  <si>
    <t>345.0</t>
  </si>
  <si>
    <t>346.8</t>
  </si>
  <si>
    <t>349.2</t>
  </si>
  <si>
    <t>353.0</t>
  </si>
  <si>
    <t>354.9</t>
  </si>
  <si>
    <t>362.0</t>
  </si>
  <si>
    <t>363.8</t>
  </si>
  <si>
    <t>364.6</t>
  </si>
  <si>
    <t>365.4</t>
  </si>
  <si>
    <t>366.2</t>
  </si>
  <si>
    <t>367.0</t>
  </si>
  <si>
    <t>370.0</t>
  </si>
  <si>
    <t>371.9</t>
  </si>
  <si>
    <t>372.7</t>
  </si>
  <si>
    <t>373.5</t>
  </si>
  <si>
    <t>374.3</t>
  </si>
  <si>
    <t>375.1</t>
  </si>
  <si>
    <t>376.0</t>
  </si>
  <si>
    <t>377.8</t>
  </si>
  <si>
    <t>378.6</t>
  </si>
  <si>
    <t>379.4</t>
  </si>
  <si>
    <t>380.8</t>
  </si>
  <si>
    <t>381.6</t>
  </si>
  <si>
    <t>382.4</t>
  </si>
  <si>
    <t>387.5</t>
  </si>
  <si>
    <t>388.3</t>
  </si>
  <si>
    <t>389.1</t>
  </si>
  <si>
    <t>391.3</t>
  </si>
  <si>
    <t>392.1</t>
  </si>
  <si>
    <t>393.0</t>
  </si>
  <si>
    <t>394.8</t>
  </si>
  <si>
    <t>395.6</t>
  </si>
  <si>
    <t>399.9</t>
  </si>
  <si>
    <t>431.6</t>
  </si>
  <si>
    <t>459.6</t>
  </si>
  <si>
    <t>482.0</t>
  </si>
  <si>
    <t>543.6</t>
  </si>
  <si>
    <t>580.0</t>
  </si>
  <si>
    <t>587.8</t>
  </si>
  <si>
    <t>597.5</t>
  </si>
  <si>
    <t>599.1</t>
  </si>
  <si>
    <t>600.9</t>
  </si>
  <si>
    <t>601.7</t>
  </si>
  <si>
    <t>602.5</t>
  </si>
  <si>
    <t>603.3</t>
  </si>
  <si>
    <t>604.1</t>
  </si>
  <si>
    <t>605.0</t>
  </si>
  <si>
    <t>610.6</t>
  </si>
  <si>
    <t>611.4</t>
  </si>
  <si>
    <t>612.2</t>
  </si>
  <si>
    <t>613.0</t>
  </si>
  <si>
    <t>614.9</t>
  </si>
  <si>
    <t>615.7</t>
  </si>
  <si>
    <t>617.3</t>
  </si>
  <si>
    <t>618.1</t>
  </si>
  <si>
    <t>621.1</t>
  </si>
  <si>
    <t>622.0</t>
  </si>
  <si>
    <t>623.8</t>
  </si>
  <si>
    <t>624.6</t>
  </si>
  <si>
    <t>626.2</t>
  </si>
  <si>
    <t>628.9</t>
  </si>
  <si>
    <t>632.7</t>
  </si>
  <si>
    <t>635.1</t>
  </si>
  <si>
    <t>636.0</t>
  </si>
  <si>
    <t>637.8</t>
  </si>
  <si>
    <t>638.6</t>
  </si>
  <si>
    <t>640.8</t>
  </si>
  <si>
    <t>641.6</t>
  </si>
  <si>
    <t>650.5</t>
  </si>
  <si>
    <t>654.8</t>
  </si>
  <si>
    <t>655.6</t>
  </si>
  <si>
    <t>656.4</t>
  </si>
  <si>
    <t>657.2</t>
  </si>
  <si>
    <t>658.0</t>
  </si>
  <si>
    <t>659.9</t>
  </si>
  <si>
    <t>662.9</t>
  </si>
  <si>
    <t>664.5</t>
  </si>
  <si>
    <t>665.3</t>
  </si>
  <si>
    <t>667.0</t>
  </si>
  <si>
    <t>671.8</t>
  </si>
  <si>
    <t>674.2</t>
  </si>
  <si>
    <t>675.0</t>
  </si>
  <si>
    <t>678.5</t>
  </si>
  <si>
    <t>679.3</t>
  </si>
  <si>
    <t>683.1</t>
  </si>
  <si>
    <t>687.4</t>
  </si>
  <si>
    <t>691.2</t>
  </si>
  <si>
    <t>694.7</t>
  </si>
  <si>
    <t>695.5</t>
  </si>
  <si>
    <t>698.0</t>
  </si>
  <si>
    <t>699.8</t>
  </si>
  <si>
    <t>700.5</t>
  </si>
  <si>
    <t>702.1</t>
  </si>
  <si>
    <t>712.9</t>
  </si>
  <si>
    <t>719.6</t>
  </si>
  <si>
    <t>728.5</t>
  </si>
  <si>
    <t>742.0</t>
  </si>
  <si>
    <t>743.9</t>
  </si>
  <si>
    <t>744.7</t>
  </si>
  <si>
    <t>745.5</t>
  </si>
  <si>
    <t>747.1</t>
  </si>
  <si>
    <t>749.8</t>
  </si>
  <si>
    <t>750.1</t>
  </si>
  <si>
    <t>752.8</t>
  </si>
  <si>
    <t>754.4</t>
  </si>
  <si>
    <t>755.2</t>
  </si>
  <si>
    <t>758.7</t>
  </si>
  <si>
    <t>759.5</t>
  </si>
  <si>
    <t>760.9</t>
  </si>
  <si>
    <t>761.7</t>
  </si>
  <si>
    <t>762.5</t>
  </si>
  <si>
    <t>764.1</t>
  </si>
  <si>
    <t>765.0</t>
  </si>
  <si>
    <t>766.8</t>
  </si>
  <si>
    <t>767.6</t>
  </si>
  <si>
    <t>768.4</t>
  </si>
  <si>
    <t>769.2</t>
  </si>
  <si>
    <t>770.6</t>
  </si>
  <si>
    <t>771.4</t>
  </si>
  <si>
    <t>774.9</t>
  </si>
  <si>
    <t>776.5</t>
  </si>
  <si>
    <t>778.1</t>
  </si>
  <si>
    <t>779.0</t>
  </si>
  <si>
    <t>780.3</t>
  </si>
  <si>
    <t>781.1</t>
  </si>
  <si>
    <t>782.0</t>
  </si>
  <si>
    <t>783.8</t>
  </si>
  <si>
    <t>784.6</t>
  </si>
  <si>
    <t>786.2</t>
  </si>
  <si>
    <t>787.0</t>
  </si>
  <si>
    <t>794.3</t>
  </si>
  <si>
    <t>795.1</t>
  </si>
  <si>
    <t>796.0</t>
  </si>
  <si>
    <t>797.8</t>
  </si>
  <si>
    <t>798.6</t>
  </si>
  <si>
    <t>799.4</t>
  </si>
  <si>
    <t>800.1</t>
  </si>
  <si>
    <t>801.0</t>
  </si>
  <si>
    <t>802.8</t>
  </si>
  <si>
    <t>803.6</t>
  </si>
  <si>
    <t>804.4</t>
  </si>
  <si>
    <t>805.2</t>
  </si>
  <si>
    <t>806.0</t>
  </si>
  <si>
    <t>807.9</t>
  </si>
  <si>
    <t>808.7</t>
  </si>
  <si>
    <t>809.5</t>
  </si>
  <si>
    <t>810.9</t>
  </si>
  <si>
    <t>812.5</t>
  </si>
  <si>
    <t>813.3</t>
  </si>
  <si>
    <t>814.1</t>
  </si>
  <si>
    <t>815.0</t>
  </si>
  <si>
    <t>816.8</t>
  </si>
  <si>
    <t>817.6</t>
  </si>
  <si>
    <t>818.4</t>
  </si>
  <si>
    <t>819.2</t>
  </si>
  <si>
    <t>820.6</t>
  </si>
  <si>
    <t>821.4</t>
  </si>
  <si>
    <t>822.2</t>
  </si>
  <si>
    <t>823.0</t>
  </si>
  <si>
    <t>824.9</t>
  </si>
  <si>
    <t>825.7</t>
  </si>
  <si>
    <t>826.5</t>
  </si>
  <si>
    <t>827.3</t>
  </si>
  <si>
    <t>828.1</t>
  </si>
  <si>
    <t>829.0</t>
  </si>
  <si>
    <t>831.1</t>
  </si>
  <si>
    <t>832.0</t>
  </si>
  <si>
    <t>835.4</t>
  </si>
  <si>
    <t>836.2</t>
  </si>
  <si>
    <t>838.9</t>
  </si>
  <si>
    <t>839.7</t>
  </si>
  <si>
    <t>840.0</t>
  </si>
  <si>
    <t>841.9</t>
  </si>
  <si>
    <t>842.7</t>
  </si>
  <si>
    <t>843.5</t>
  </si>
  <si>
    <t>844.3</t>
  </si>
  <si>
    <t>845.1</t>
  </si>
  <si>
    <t>846.0</t>
  </si>
  <si>
    <t>848.6</t>
  </si>
  <si>
    <t>850.8</t>
  </si>
  <si>
    <t>851.6</t>
  </si>
  <si>
    <t>852.4</t>
  </si>
  <si>
    <t>854.0</t>
  </si>
  <si>
    <t>855.9</t>
  </si>
  <si>
    <t>857.5</t>
  </si>
  <si>
    <t>858.3</t>
  </si>
  <si>
    <t>859.1</t>
  </si>
  <si>
    <t>860.5</t>
  </si>
  <si>
    <t>861.3</t>
  </si>
  <si>
    <t>862.1</t>
  </si>
  <si>
    <t>863.0</t>
  </si>
  <si>
    <t>864.8</t>
  </si>
  <si>
    <t>865.6</t>
  </si>
  <si>
    <t>866.4</t>
  </si>
  <si>
    <t>867.2</t>
  </si>
  <si>
    <t>869.9</t>
  </si>
  <si>
    <t>870.2</t>
  </si>
  <si>
    <t>872.9</t>
  </si>
  <si>
    <t>873.7</t>
  </si>
  <si>
    <t>876.1</t>
  </si>
  <si>
    <t>877.0</t>
  </si>
  <si>
    <t>878.8</t>
  </si>
  <si>
    <t>880.0</t>
  </si>
  <si>
    <t>881.8</t>
  </si>
  <si>
    <t>882.6</t>
  </si>
  <si>
    <t>883.4</t>
  </si>
  <si>
    <t>884.2</t>
  </si>
  <si>
    <t>885.0</t>
  </si>
  <si>
    <t>886.9</t>
  </si>
  <si>
    <t>887.7</t>
  </si>
  <si>
    <t>888.5</t>
  </si>
  <si>
    <t>889.3</t>
  </si>
  <si>
    <t>898.2.</t>
  </si>
  <si>
    <t>899.0</t>
  </si>
  <si>
    <t>900.8</t>
  </si>
  <si>
    <t>901.6</t>
  </si>
  <si>
    <t>902.4</t>
  </si>
  <si>
    <t>903.2</t>
  </si>
  <si>
    <t>904.0</t>
  </si>
  <si>
    <t>906.7</t>
  </si>
  <si>
    <t>907.5</t>
  </si>
  <si>
    <t>909.1</t>
  </si>
  <si>
    <t>911.3</t>
  </si>
  <si>
    <t>913.0</t>
  </si>
  <si>
    <t>915.6</t>
  </si>
  <si>
    <t>916.4</t>
  </si>
  <si>
    <t>917.2</t>
  </si>
  <si>
    <t>918.0</t>
  </si>
  <si>
    <t>950.4</t>
  </si>
  <si>
    <t>954.7</t>
  </si>
  <si>
    <t>955.5</t>
  </si>
  <si>
    <t>956.3</t>
  </si>
  <si>
    <t>958.0</t>
  </si>
  <si>
    <t>960.1</t>
  </si>
  <si>
    <t>961.0</t>
  </si>
  <si>
    <t>963.6</t>
  </si>
  <si>
    <t>964.4</t>
  </si>
  <si>
    <t>966.0</t>
  </si>
  <si>
    <t>967.9</t>
  </si>
  <si>
    <t>968.7</t>
  </si>
  <si>
    <t>cód int</t>
  </si>
  <si>
    <t>Ortopantomografia</t>
  </si>
  <si>
    <t>Exames de cabeça e pescoço, cada incidência a mais</t>
  </si>
  <si>
    <t>Dacriocistografia</t>
  </si>
  <si>
    <t>Sialografia, cada glândula</t>
  </si>
  <si>
    <t>731.5</t>
  </si>
  <si>
    <t>732.3</t>
  </si>
  <si>
    <t>Exames de coluna, cada incidência a mais</t>
  </si>
  <si>
    <t>Exames de tórax, cada incidência a mais (incidências complementares aos exames deste capítulo)</t>
  </si>
  <si>
    <t>Mama</t>
  </si>
  <si>
    <t>Mamografia bilateral, duas incidências por mama</t>
  </si>
  <si>
    <t>Mamografia unilateral, duas incidências</t>
  </si>
  <si>
    <t>Mamografia, cada incidência a mais</t>
  </si>
  <si>
    <t>Galactografia</t>
  </si>
  <si>
    <t>Abdómen simples, cada incidência mais</t>
  </si>
  <si>
    <t>Faringografia</t>
  </si>
  <si>
    <t>Clister opaco</t>
  </si>
  <si>
    <t>Clister com duplo contraste</t>
  </si>
  <si>
    <t>Ombro, duas incidências</t>
  </si>
  <si>
    <t>Braço, duas incidências</t>
  </si>
  <si>
    <t>Cotovelo, duas incidências</t>
  </si>
  <si>
    <t>Antebraço, duas incidências</t>
  </si>
  <si>
    <t>Punho, duas incidências</t>
  </si>
  <si>
    <t>Mão, duas incidências</t>
  </si>
  <si>
    <t>Membros superiores, cada incidência a mais</t>
  </si>
  <si>
    <t>734.0</t>
  </si>
  <si>
    <t>Coxa, duas incidências</t>
  </si>
  <si>
    <t>Joelho, duas incidências</t>
  </si>
  <si>
    <t>735.8</t>
  </si>
  <si>
    <t>Radiografia dos joelhos em carga, duas incidências</t>
  </si>
  <si>
    <t>Estudo axial da rótula, uma incidência</t>
  </si>
  <si>
    <t>Estudo axial da rótula, três incidências</t>
  </si>
  <si>
    <t>Perna, duas incidências</t>
  </si>
  <si>
    <t>Tornozelo, duas incidências</t>
  </si>
  <si>
    <t>736.6</t>
  </si>
  <si>
    <t>Tornozelo em carga, duas incidências</t>
  </si>
  <si>
    <t>Pé, duas incidências</t>
  </si>
  <si>
    <t>737.4</t>
  </si>
  <si>
    <t>Pé em carga, duas incidências</t>
  </si>
  <si>
    <t>Calcâneo, duas incidências</t>
  </si>
  <si>
    <t>738.2</t>
  </si>
  <si>
    <t>Membros inferiores, cada incidência a mais</t>
  </si>
  <si>
    <t>Esqueleto (criança)</t>
  </si>
  <si>
    <t>Esqueleto (adulto) (considera as seguintes incidências indicativas: crânio, coluna cervical, dorsal e lombar - duas incidências; bacia, braços, antebraços, mãos, fémures, pernas e pés - uma incidência)</t>
  </si>
  <si>
    <t>Ecografia cervical (partes moles)</t>
  </si>
  <si>
    <t>Ecografia das glândulas salivares</t>
  </si>
  <si>
    <t>Ecografia do abdómen superior</t>
  </si>
  <si>
    <t>1531.2</t>
  </si>
  <si>
    <t>Ecografia renal e suprarrenal</t>
  </si>
  <si>
    <t>1532.0</t>
  </si>
  <si>
    <t>Ecografia prostática e das vesículas seminais, por via endocavitária</t>
  </si>
  <si>
    <t>Ecografia pós-miccional com cálculo do resíduo urinário</t>
  </si>
  <si>
    <t>1533.9</t>
  </si>
  <si>
    <t>Ecografia escrotal</t>
  </si>
  <si>
    <t>Ecografia peniana</t>
  </si>
  <si>
    <t>Nota explicativa 2: Para os códigos 17190, 17195 e 17197 é obrigatório que o médico que executa o exame detenha a competência em ecografia obstétrica diferenciada.</t>
  </si>
  <si>
    <t>1546.3</t>
  </si>
  <si>
    <t>Ecografia articular</t>
  </si>
  <si>
    <t>Ecocardiograma transtorácico bidimensional (sem doppler) (ver tabela de Cardiologia, código 1541.3)</t>
  </si>
  <si>
    <t>Ecocardiograma transtorácico bidimensional (com doppler) (ver tabela de Cardiologia, código 1530.4)</t>
  </si>
  <si>
    <t>Ecocardiograma com estudo doppler tecidular (ver tabela de Cardiologia, código 1548.3)</t>
  </si>
  <si>
    <t>TC maxilofacial</t>
  </si>
  <si>
    <t>TC da sela turca</t>
  </si>
  <si>
    <t>TC das órbitas</t>
  </si>
  <si>
    <t>TC dos seios perinasais</t>
  </si>
  <si>
    <t>TC dos ouvidos</t>
  </si>
  <si>
    <t>TC da coluna cervical</t>
  </si>
  <si>
    <t>TC da coluna dorsal</t>
  </si>
  <si>
    <t>TC da coluna lombar</t>
  </si>
  <si>
    <t>TC da bacia</t>
  </si>
  <si>
    <t>1544.3</t>
  </si>
  <si>
    <t>TC cardíaca (angio-TC)</t>
  </si>
  <si>
    <t>1545.3</t>
  </si>
  <si>
    <t>TC cardíaca, score de cálcio</t>
  </si>
  <si>
    <t>TC do abdómen superior</t>
  </si>
  <si>
    <t>TC articular, cada articulação</t>
  </si>
  <si>
    <t>TC, suplemento de contraste endovenoso</t>
  </si>
  <si>
    <t>TC, contraste oral</t>
  </si>
  <si>
    <t>TC, contraste retal</t>
  </si>
  <si>
    <t>Não vasculares</t>
  </si>
  <si>
    <t>Drenagem de coleção ou abcesso guiada por técnica de imagem</t>
  </si>
  <si>
    <t>Procedimentos específicos de cada região</t>
  </si>
  <si>
    <t>Punção para citologia</t>
  </si>
  <si>
    <t>Punção para histologia</t>
  </si>
  <si>
    <t>Osteodensitometria</t>
  </si>
  <si>
    <t>1500.2</t>
  </si>
  <si>
    <t>Osteodensitometria da coluna lombar</t>
  </si>
  <si>
    <t>1501.0</t>
  </si>
  <si>
    <t>Osteodensitometria do colo femoral</t>
  </si>
  <si>
    <t>1502.9</t>
  </si>
  <si>
    <t>Osteodensitometria do punho</t>
  </si>
  <si>
    <t>1503.7</t>
  </si>
  <si>
    <t>Osteodensitometria da coluna lombar e do colo femoral</t>
  </si>
  <si>
    <t>Anestesiar sem qualquer fator de risco</t>
  </si>
  <si>
    <t>Anestesiar com 1 fator de risco</t>
  </si>
  <si>
    <t>Anestesiar com 2 ou mais fatores de risco</t>
  </si>
  <si>
    <t>TABELA DA ÁREA N - ESPECIALIDADES MÉDICO-CIRÚRGICAS (CONSULTAS)</t>
  </si>
  <si>
    <t>Designação</t>
  </si>
  <si>
    <t>Primeira consulta em psiquiatria</t>
  </si>
  <si>
    <t>Outras consultas em psiquiatria</t>
  </si>
  <si>
    <t>Primeira consulta em cardiologia</t>
  </si>
  <si>
    <t>Outras consultas em cardiologia</t>
  </si>
  <si>
    <t>Primeira consulta em cardiologia pediátrica</t>
  </si>
  <si>
    <t>Outras consultas em cardiologia pediátrica</t>
  </si>
  <si>
    <t>Primeira consulta em cirurgia geral</t>
  </si>
  <si>
    <t>Outras consultas em cirurgia geral</t>
  </si>
  <si>
    <t>Primeira consulta em cirurgia pediátrica</t>
  </si>
  <si>
    <t>Outras consultas em cirurgia pediátrica</t>
  </si>
  <si>
    <t>Primeira consulta em cirurgia plástica reconstrutiva</t>
  </si>
  <si>
    <t>Outras consultas em cirurgia plástica reconstrutiva</t>
  </si>
  <si>
    <t>Primeira consulta em cirurgia torácica</t>
  </si>
  <si>
    <t>Outras consultas em cirurgia torácica</t>
  </si>
  <si>
    <t>Primeira consulta em cirurgia vascular</t>
  </si>
  <si>
    <t>Outras consultas em cirurgia vascular</t>
  </si>
  <si>
    <t>Primeira consulta em dermatovenereologia</t>
  </si>
  <si>
    <t>Outras consultas em dermatovenereologia</t>
  </si>
  <si>
    <t>Primeira consulta em endocrinologia</t>
  </si>
  <si>
    <t>Outras consultas em endocrinologia</t>
  </si>
  <si>
    <t>Primeira consulta em gastrenterologia</t>
  </si>
  <si>
    <t>Outras consultas em gastrenterologia</t>
  </si>
  <si>
    <t>Primeira consulta em ginecologia/obstetrícia</t>
  </si>
  <si>
    <t>Outras consultas em ginecologia/obstetrícia</t>
  </si>
  <si>
    <t>Primeira consulta em hematologia clínica</t>
  </si>
  <si>
    <t>Outras consultas em hematologia clínica</t>
  </si>
  <si>
    <t>Primeira consulta em imunoalergologia</t>
  </si>
  <si>
    <t>Outras consultas em imunoalergologia</t>
  </si>
  <si>
    <t>Primeira consulta em medicina interna</t>
  </si>
  <si>
    <t>Outras consultas em medicina interna</t>
  </si>
  <si>
    <t>Primeira consulta em medicina nuclear</t>
  </si>
  <si>
    <t>Outras consultas em medicina nuclear</t>
  </si>
  <si>
    <t>Primeira consulta em nefrologia</t>
  </si>
  <si>
    <t>Outras consultas em nefrologia</t>
  </si>
  <si>
    <t>Primeira consulta em neurocirurgia</t>
  </si>
  <si>
    <t>Outras consultas em neurocirurgia</t>
  </si>
  <si>
    <t>Primeira consulta em neurologia</t>
  </si>
  <si>
    <t>Outras consultas em neurologia</t>
  </si>
  <si>
    <t>Primeira consulta em oftalmologia</t>
  </si>
  <si>
    <t>Outras consultas em oftalmologia</t>
  </si>
  <si>
    <t>Primeira consulta em ortopedia</t>
  </si>
  <si>
    <t>Outras consultas em ortopedia</t>
  </si>
  <si>
    <t>Primeira consulta em otorrinolaringologia</t>
  </si>
  <si>
    <t>Outras consultas em otorrinolaringologia</t>
  </si>
  <si>
    <t>Primeira consulta em pediatria</t>
  </si>
  <si>
    <t>Outras consultas em pediatria</t>
  </si>
  <si>
    <t>Primeira consulta em pedopsiquiatria</t>
  </si>
  <si>
    <t>Outras consultas em pedopsiquiatria</t>
  </si>
  <si>
    <t>Primeira consulta em pneumologia</t>
  </si>
  <si>
    <t>Outras consultas em pneumologia</t>
  </si>
  <si>
    <t>Primeira consulta em reumatologia</t>
  </si>
  <si>
    <t>Outras consultas em reumatologia</t>
  </si>
  <si>
    <t>Primeira consulta em urologia</t>
  </si>
  <si>
    <t>Outras consultas em urologia</t>
  </si>
  <si>
    <t>Primeira consulta em psiquiatria (IPSS)</t>
  </si>
  <si>
    <t>Outras consultas em psiquiatria (IPSS)</t>
  </si>
  <si>
    <t>Primeira consulta em cardiologia (IPSS)</t>
  </si>
  <si>
    <t>Outras consultas em cardiologia (IPSS)</t>
  </si>
  <si>
    <t>Primeira consulta em cardiologia pediátrica (IPSS)</t>
  </si>
  <si>
    <t>Outras consultas em cardiologia pediátrica (IPSS)</t>
  </si>
  <si>
    <t>Primeira consulta em cirurgia geral (IPSS)</t>
  </si>
  <si>
    <t>Outras consultas em cirurgia geral (IPSS)</t>
  </si>
  <si>
    <t>Primeira consulta em cirurgia pediátrica (IPSS)</t>
  </si>
  <si>
    <t>Outras consultas em cirurgia pediátrica (IPSS)</t>
  </si>
  <si>
    <t>Primeira consulta em cirurgia plast. reconstrutiva (IPSS)</t>
  </si>
  <si>
    <t>Outras consultas em cirurgia plast. reconstrutiva (IPSS)</t>
  </si>
  <si>
    <t>Primeira consulta em cirurgia torácica (IPSS)</t>
  </si>
  <si>
    <t>Outras consultas em cirurgia torácica (IPSS)</t>
  </si>
  <si>
    <t>Primeira consulta em cirurgia vascular (IPSS)</t>
  </si>
  <si>
    <t>Outras consultas em cirurgia vascular (IPSS)</t>
  </si>
  <si>
    <t>Primeira consulta em dermatovenereologia (IPSS)</t>
  </si>
  <si>
    <t>Outras consultas em dermatovenereologia (IPSS)</t>
  </si>
  <si>
    <t>Primeira consulta em endocrinologia (IPSS)</t>
  </si>
  <si>
    <t>Outras consultas em endocrinologia (IPSS)</t>
  </si>
  <si>
    <t>Primeira consulta em gastrenterologia (IPSS)</t>
  </si>
  <si>
    <t>Outras consultas em gastrenterologia (IPSS)</t>
  </si>
  <si>
    <t>Primeira consulta em ginecologia/obstetrícia (IPSS)</t>
  </si>
  <si>
    <t>Outras consultas em ginecologia/obstetrícia (IPSS)</t>
  </si>
  <si>
    <t>Primeira consulta em hematologia clínica (IPSS)</t>
  </si>
  <si>
    <t>Outras consultas em hematologia clínica (IPSS)</t>
  </si>
  <si>
    <t>Primeira consulta em imunoalergologia (IPSS)</t>
  </si>
  <si>
    <t>Outras consultas em imunoalergologia (IPSS)</t>
  </si>
  <si>
    <t>Primeira consulta em medicina interna (IPSS)</t>
  </si>
  <si>
    <t>Outras consultas em medicina interna (IPSS)</t>
  </si>
  <si>
    <t>Primeira consulta em medicina nuclear (IPSS)</t>
  </si>
  <si>
    <t>Outras consultas em medicina nuclear (IPSS)</t>
  </si>
  <si>
    <t>Primeira consulta em nefrologia (IPSS)</t>
  </si>
  <si>
    <t>Outras consultas em nefrologia (IPSS)</t>
  </si>
  <si>
    <t>Primeira consulta em neurocirurgia (IPSS)</t>
  </si>
  <si>
    <t>Outras consultas em neurocirurgia (IPSS)</t>
  </si>
  <si>
    <t>Primeira consulta em neurologia (IPSS)</t>
  </si>
  <si>
    <t>Outras consultas em neurologia (IPSS)</t>
  </si>
  <si>
    <t>Primeira consulta em oftalmologia (IPSS)</t>
  </si>
  <si>
    <t>Outras consultas em oftalmologia (IPSS)</t>
  </si>
  <si>
    <t>Primeira consulta em ortopedia (IPSS)</t>
  </si>
  <si>
    <t>Outras consultas em ortopedia (IPSS)</t>
  </si>
  <si>
    <t>Primeira consulta em otorrinolaringologia (IPSS)</t>
  </si>
  <si>
    <t>Outras consultas em otorrinolaringologia (IPSS)</t>
  </si>
  <si>
    <t>Primeira consulta em pediatria (IPSS)</t>
  </si>
  <si>
    <t>Outras consultas em pediatria (IPSS)</t>
  </si>
  <si>
    <t>Primeira consulta em pedopsiquiatria (IPSS)</t>
  </si>
  <si>
    <t>Outras consultas em pedopsiquiatria (IPSS)</t>
  </si>
  <si>
    <t>Primeira consulta em pneumologia (IPSS)</t>
  </si>
  <si>
    <t>Outras consultas em pneumologia (IPSS)</t>
  </si>
  <si>
    <t>Primeira consulta em reumatologia (IPSS)</t>
  </si>
  <si>
    <t>Outras consultas em reumatologia (IPSS)</t>
  </si>
  <si>
    <t>Primeira consulta em urologia (IPSS)</t>
  </si>
  <si>
    <t>Outras consultas em urologia (IPSS)</t>
  </si>
  <si>
    <t>TABELA DA ÁREA O - PSICOLOGIA</t>
  </si>
  <si>
    <t>Consultas</t>
  </si>
  <si>
    <t>Teste Wechsler</t>
  </si>
  <si>
    <t>Teste Rorschach</t>
  </si>
  <si>
    <t>Exame completo</t>
  </si>
  <si>
    <t>TABELA DA ÁREA Z - EXAMES COMUNS</t>
  </si>
  <si>
    <t>Esta tabela destina-se às situações de exames que podem ser efectuados por várias especialidades. A área onde está localizado o exame tem código e preço mas todas facturam pela área Z.</t>
  </si>
  <si>
    <t>Estes exames localizam-se na área M - Radiologia mas também podem ser efetuados pela área D - Medicina Nuclear</t>
  </si>
  <si>
    <t>Estes exames localizam-se na área I - Pneumologia mas também podem ser efetuados pela área G - Medicina Física e de Reabilitação e pela área I2 - Imunoalergologia</t>
  </si>
  <si>
    <t>Estes exames localizam-se na área G - Medicina Física e de Reabilitação mas também podem ser efetuados pela área H - ORL</t>
  </si>
  <si>
    <t>Estes exames localizam-se na área I2 - Imunoalergologia mas também podem ser efetuados pela área H - ORL (1520.7) e I - Pneumologia (todos)</t>
  </si>
  <si>
    <t>Análises Clínicas - Bioquímica</t>
  </si>
  <si>
    <t>Esta análise localiza-se na área A - Análises Clínicas mas também pode ser faturada pela I - Pneumologia</t>
  </si>
  <si>
    <t>Estes exames localizam-se na área G - Medicina Física e de Reabilitação mas também podem ser efetuados pela área I - Pneumologia e pela área I2 - Imunoalergologia (Aerossóis e Aerossóis ultra-sónicos)</t>
  </si>
  <si>
    <t>Este exame localiza-se na área G - Medicina Física e de Reabilitação mas também pode ser faturado pela área I - Pneumologia</t>
  </si>
  <si>
    <t>Este exame localiza-se na área C - Cardiologia mas também pode ser faturado pela área M - Radiologia</t>
  </si>
  <si>
    <t>Este exame localiza-se na área M - Radiologia mas também podem ser faturados pela área C - Cardiologia</t>
  </si>
  <si>
    <t>Ecotomografia (Ecografia)</t>
  </si>
  <si>
    <t>Estes exames localiza-se na área M - Radiologia mas também podem ser faturados pela área J - Urologia</t>
  </si>
  <si>
    <t>Estudos específicos (de medicina física e de reabilitação)</t>
  </si>
  <si>
    <t>Este exame localiza-se na área G - Medicina Física e de Reabilitação mas também pode ser efetuado pela área H - ORL</t>
  </si>
  <si>
    <t>Este exame localiza-se na área L - Neurofisiologia mas também pode ser efetuado pela área H - ORL</t>
  </si>
  <si>
    <t>Preço convencionado</t>
  </si>
  <si>
    <t xml:space="preserve">Apolipoproteínas A1 e B, cada, s </t>
  </si>
  <si>
    <t xml:space="preserve">Apolipoproteínas C2 e C3, cada, s </t>
  </si>
  <si>
    <t xml:space="preserve">CA 15-3 </t>
  </si>
  <si>
    <t>1150.1</t>
  </si>
  <si>
    <t>Calprotectina fecal</t>
  </si>
  <si>
    <t xml:space="preserve">Colesterol da fração HDL, s </t>
  </si>
  <si>
    <t xml:space="preserve">Colesterol da fração LDL, s </t>
  </si>
  <si>
    <t xml:space="preserve">DHEA, Dehidroepiandrosterona, s/u/l </t>
  </si>
  <si>
    <t xml:space="preserve">DHEA-S, Dehidroepiandrosterona sulfato, s/l </t>
  </si>
  <si>
    <t xml:space="preserve">Fosfato, s/u </t>
  </si>
  <si>
    <t xml:space="preserve">Gasimetria (pH, pCO2, pO2, SatO2, CO2, ...), s </t>
  </si>
  <si>
    <t xml:space="preserve">Gonadotrofina coriónica, subunidade Beta, fração livre (Fß HCG), s </t>
  </si>
  <si>
    <t xml:space="preserve">Lipoproteínas (eletroforese), s </t>
  </si>
  <si>
    <t xml:space="preserve">Proteínas (total) e eletroforese, s </t>
  </si>
  <si>
    <t xml:space="preserve">Prova de sobrecarga glucídica, cada doseamento de glucose e de HGH </t>
  </si>
  <si>
    <t xml:space="preserve">Prova tolerância à glucose, cada doseamento </t>
  </si>
  <si>
    <t xml:space="preserve">Valproato, s </t>
  </si>
  <si>
    <t xml:space="preserve">Hemoglobina F, doseamento, outros métodos, s </t>
  </si>
  <si>
    <t xml:space="preserve">Hemoglobinas, separação e doseamento (Cromatografia LPLC/HPLC), s </t>
  </si>
  <si>
    <t>Anticorpos anti-cardiolipina, cada isotipo</t>
  </si>
  <si>
    <t>Anticorpos anti-descarboxilase do ácido glutâmico (GAD)</t>
  </si>
  <si>
    <t>Anticorpos anti-factor intrínseco</t>
  </si>
  <si>
    <t xml:space="preserve">Anticorpos anti-mitocôndrias (AMA) (imunofluorescência) </t>
  </si>
  <si>
    <t>Anticorpos anti-músculo liso (ASMA), (imunofluorescência)</t>
  </si>
  <si>
    <t xml:space="preserve">Anticorpos anti-nucleares e citoplasmáticos (ANA) (imunofluorescência) </t>
  </si>
  <si>
    <t xml:space="preserve">Anticorpos anti-nucleares e citoplasmáticos (anti-Sm, RNP, SSA/Ro52, SSA/Ro60, SSB/La, Jo1, Scl70), identificação, todos </t>
  </si>
  <si>
    <t>Anticorpos anti-peptídeos citrulinados (CCP)</t>
  </si>
  <si>
    <t>Anticorpos anti-receptor da TSH (TRAB)</t>
  </si>
  <si>
    <t>Anticorpos anti-tiroideus, peroxidase (TPO)</t>
  </si>
  <si>
    <t>Anticorpos anti-tiroideus, tiroglobulina (TG)</t>
  </si>
  <si>
    <t>Anticorpos anti-transglutaminase, cada isotipo</t>
  </si>
  <si>
    <t>Caracterização de componentes monoclonais (imunofixação / imunosubtração)</t>
  </si>
  <si>
    <t xml:space="preserve">Fator reumatóide (nefelometria / turbidimetria) </t>
  </si>
  <si>
    <t xml:space="preserve">Imunoglobulinas (A/G/M), baixa concentração, cada </t>
  </si>
  <si>
    <t>Inibidor da esterase C'1</t>
  </si>
  <si>
    <t>O estudo por citometria de fluxo é um estudo de carácter interpretativo, que pode exigir uma abordagem sequencial. Assim, em alguns casos, foi contemplada a possibilidade de dois tipos de estudo que podem ser efetuados sequencialmente na mesma amostra em caso de necessidade: um primeiro estudo, designado por estudo inicial e um segundo, designado por estudo complementar.</t>
  </si>
  <si>
    <t>Anticorpos para EBV – EBNA IgG</t>
  </si>
  <si>
    <t>Anticorpos para EBV – VCA IgG</t>
  </si>
  <si>
    <t>Anticorpos para EBV – VCA IgM</t>
  </si>
  <si>
    <t xml:space="preserve">Anticorpos para vírus Hepatite C - anti HCV confirmatório </t>
  </si>
  <si>
    <t>Antigénio de Rotavírus nas fezes</t>
  </si>
  <si>
    <t>Amostras respiratórias (lavado bronco-alveolar, escovado brônquico) - exame direto - Gram - e exame cultural (qualitativo e quantitativo), identificação e TSA</t>
  </si>
  <si>
    <t>Chlamydia trachomatis - pesquisa no exsudado endocervical, uretral e ocular por técnicas de ácidos nucleícos</t>
  </si>
  <si>
    <t>Chlamydia trachomatis / Neisseria gonorrhoeae - pesquisa no exsudado endocervical, uretral, ocular, anal e urina, por técnicas de ácidos nucleícos, cada amostra biológica</t>
  </si>
  <si>
    <t xml:space="preserve">Exsudado conjuntival - exame cultural, identificação e TSA </t>
  </si>
  <si>
    <t xml:space="preserve">Exsudado purulento (colheita por aspiração) - exame direto, cultural em aerobiose, identificação e TSA </t>
  </si>
  <si>
    <t>Helicobacter pylori - pesquisa em biópsia gástrica - exame direto e cultural</t>
  </si>
  <si>
    <t>Humor vítreo/ Humor aquoso - exame direto e cultural para bactérias aeróbias, anaerobios, identificação e TSA</t>
  </si>
  <si>
    <t xml:space="preserve">Líquidos de cavidades naturais - exame direto, cultural, identificação e TSA </t>
  </si>
  <si>
    <t>Raspados da córnea - exame direto e cultural , identificação e TSA</t>
  </si>
  <si>
    <t>Streptococcus do grupo B - deteção em exsudado vaginal/rectal em grávidas</t>
  </si>
  <si>
    <t>Urina - exame direto, cultural, identificação e TSA (Urocultura)</t>
  </si>
  <si>
    <t>IMUNOHEMOTERAPIA / MEDICINA TRANSFUSIONAL</t>
  </si>
  <si>
    <t>Anticorpos irregulares, anti-eritrocitários, pesquisa em meio de antiglobulina humana (em doentes)</t>
  </si>
  <si>
    <t xml:space="preserve">a) A entrada em vigor deste código, carece de elaboração de Norma de Orientação Clínica da Direcção Geral de Saúde </t>
  </si>
  <si>
    <t>atualizado a 01.03.2026</t>
  </si>
  <si>
    <t>TABELA DA ÁREA M - RADIOLOGIA</t>
  </si>
  <si>
    <t>RADIOLOGIA CONVENCIONAL</t>
  </si>
  <si>
    <t>1559.3</t>
  </si>
  <si>
    <t>c)</t>
  </si>
  <si>
    <t>Raio-X, cada incidência a mais</t>
  </si>
  <si>
    <t>CABEÇA E PESCOÇO</t>
  </si>
  <si>
    <t>Raio-X da arcada zigomática, uma incidência</t>
  </si>
  <si>
    <t>Raio-X das arcadas zigomáticas, uma incidência</t>
  </si>
  <si>
    <t>Raio-X da articulação temporomandibular, boca aberta e fechada, unilateral</t>
  </si>
  <si>
    <t>Raio-X da articulação temporomandibular, boca aberta e fechada, bilateral</t>
  </si>
  <si>
    <t>Raio-X da mandíbula, uma incidência</t>
  </si>
  <si>
    <t>Raio-X da mandíbula, duas incidências</t>
  </si>
  <si>
    <t>Raio-X da nasofaringe, uma incidência</t>
  </si>
  <si>
    <t>Raio-X da órbita, duas incidências</t>
  </si>
  <si>
    <t>Raio-X da sela turca</t>
  </si>
  <si>
    <t>Raio-X das glândulas salivares, uma incidência</t>
  </si>
  <si>
    <t>Raio-X do canal ótico</t>
  </si>
  <si>
    <t>Raio-X do crânio, uma incidência</t>
  </si>
  <si>
    <t>Raio-X do crânio, duas incidências</t>
  </si>
  <si>
    <t>Raio-X do globo ocular para deteção de corpo estranho</t>
  </si>
  <si>
    <t>Raio-X dos mastóides, uma incidência</t>
  </si>
  <si>
    <t>Raio-X dos ossos da face, duas incidências</t>
  </si>
  <si>
    <t>Raio-X dos ossos do nariz, duas incidências</t>
  </si>
  <si>
    <t>Raio-X dos seios perinasais, uma incidência</t>
  </si>
  <si>
    <t>Raio-X dos seios perinasais, duas incidências</t>
  </si>
  <si>
    <t>Exames fluoroscópicos da cabeça e pescoço</t>
  </si>
  <si>
    <t>COLUNA VERTEBRAL</t>
  </si>
  <si>
    <t>Raio-X da coluna cervical, duas incidências</t>
  </si>
  <si>
    <t>Raio-X da coluna cervical, quatro incidências</t>
  </si>
  <si>
    <t>Raio-X da coluna dorsal, duas incidências</t>
  </si>
  <si>
    <t>Raio-X da coluna em filme extralongo, uma incidência</t>
  </si>
  <si>
    <t>Raio-X da coluna em filme extralongo, duas incidências</t>
  </si>
  <si>
    <t>Raio-X da coluna lombar, duas incidências</t>
  </si>
  <si>
    <t>Raio-X da coluna lombar, quatro incidências</t>
  </si>
  <si>
    <t>Raio-X da coluna lombossagrada em carga, duas incidências</t>
  </si>
  <si>
    <t>Raio-X da transição cervicodorsal, duas incidências</t>
  </si>
  <si>
    <t>Raio-X da transição craniocervical, duas incidências</t>
  </si>
  <si>
    <t>Raio-X da transição lombossagrada, duas incidências</t>
  </si>
  <si>
    <t>Raio-X dinâmico da coluna cervical, inclinações laterais</t>
  </si>
  <si>
    <t>Raio-X dinâmico da coluna cervical, hiperflexão e hiperextensão</t>
  </si>
  <si>
    <t>Raio-X dinâmico da coluna lombossagrada, inclinações laterais</t>
  </si>
  <si>
    <t>Raio-X dinâmico da coluna lombossagrada, hiperflexão e hiperextensão</t>
  </si>
  <si>
    <t>Raio-X sacrococcígeo, duas incidências</t>
  </si>
  <si>
    <t>ABDÓMEN E PÉLVIS</t>
  </si>
  <si>
    <t>Clister por colostomia</t>
  </si>
  <si>
    <t>Estudo fluoroscópico do trânsito esofágico</t>
  </si>
  <si>
    <t>Estudo fluoroscópico do trânsito gastroduodenal</t>
  </si>
  <si>
    <t>Estudo fluoroscópico do trânsito do intestino delgado</t>
  </si>
  <si>
    <t>Raio-X da articulação sacroilíaca, unilateral, uma incidência</t>
  </si>
  <si>
    <t>Raio-X da articulação sacroilíaca, bilateral, uma incidência</t>
  </si>
  <si>
    <t>Raio-X da bacia</t>
  </si>
  <si>
    <t>Raio-X da bacia em carga</t>
  </si>
  <si>
    <t>Raio-X do abdómen, uma incidência</t>
  </si>
  <si>
    <t>TÓRAX</t>
  </si>
  <si>
    <t>Raio-X da grelha costal, uma incidência</t>
  </si>
  <si>
    <t>Raio-X da grelha costal, duas incidências</t>
  </si>
  <si>
    <t>Raio-X das articulações esternoclaviculares, duas incidências</t>
  </si>
  <si>
    <t>Raio-X do esterno, uma incidência</t>
  </si>
  <si>
    <t>Raio-X do esterno, duas incidências</t>
  </si>
  <si>
    <t>Raio-X do tórax, uma incidência</t>
  </si>
  <si>
    <t>Raio-X do tórax, duas incidências</t>
  </si>
  <si>
    <t>MAMA</t>
  </si>
  <si>
    <t>1551.3</t>
  </si>
  <si>
    <t>Tomossíntese digital da mama</t>
  </si>
  <si>
    <t>SISTEMA GENITURINÁRIO</t>
  </si>
  <si>
    <t>1552.1</t>
  </si>
  <si>
    <t>Cistouretrografia permiccional</t>
  </si>
  <si>
    <t>Raio-X pélvico</t>
  </si>
  <si>
    <t>Uretrocistografia ascendente com estudo pos-miccional (inclui contraste)</t>
  </si>
  <si>
    <t>MEMBROS SUPERIORES</t>
  </si>
  <si>
    <t>1553.3</t>
  </si>
  <si>
    <t>Raio-X do membro superior, cada segmento, duas incidências</t>
  </si>
  <si>
    <t>1554.0</t>
  </si>
  <si>
    <t>Raio-X do membro superior, cada articulação, duas incidências</t>
  </si>
  <si>
    <t>Raio-X da clavícula, duas incidências</t>
  </si>
  <si>
    <t>Raio-X da escápula, duas incidências</t>
  </si>
  <si>
    <t>Raio-X da mão e punho para avaliação de idade óssea (pediatria até 18 anos)</t>
  </si>
  <si>
    <t>Raio-X da articulação acromioclavicular, bilateral, uma incidêndia</t>
  </si>
  <si>
    <t>Raio-X do dedo da mão, duas incidências</t>
  </si>
  <si>
    <t>MEMBROS INFERIORES</t>
  </si>
  <si>
    <t>Raio-X da anca, unilateral, uma incidência</t>
  </si>
  <si>
    <t>Raio-X da anca, unilateral, duas incidências</t>
  </si>
  <si>
    <t>Raio-X da anca, bilateral, uma incidência</t>
  </si>
  <si>
    <t>Raio-X da anca, bilateral, duas incidências</t>
  </si>
  <si>
    <t>Raio-X da anca em carga, bilateral, uma incidência</t>
  </si>
  <si>
    <t>Raio-X do dedo do pé, duas incidências</t>
  </si>
  <si>
    <t>Raio-X dos membros inferiores em filme extralongo</t>
  </si>
  <si>
    <t>1562.5</t>
  </si>
  <si>
    <t>Raio-X do membro inferior, cada articulação, duas incidências</t>
  </si>
  <si>
    <t>1563.7</t>
  </si>
  <si>
    <t>Raio-X do membro inferior, cada articulação em carga, duas incidências</t>
  </si>
  <si>
    <t>1560.1</t>
  </si>
  <si>
    <t>Raio-X do membro inferior, cada segmento, duas incidências</t>
  </si>
  <si>
    <t>1561.3</t>
  </si>
  <si>
    <t>Raio-X do membro inferior, cada segmento em carga, duas incidências</t>
  </si>
  <si>
    <t>SISTEMA MUSCULOESQUELÉTICO</t>
  </si>
  <si>
    <t>1564.9</t>
  </si>
  <si>
    <t>Raio-X completo do esqueleto</t>
  </si>
  <si>
    <t>OSTEODENSITOMETRIA</t>
  </si>
  <si>
    <t>ECOGRAFIA</t>
  </si>
  <si>
    <t>Ecografia da tiróide</t>
  </si>
  <si>
    <t>Ecografia obstétrica 1º trimestre, (idealmente realizada entre as 11 e as 13 semanas e seis dias)</t>
  </si>
  <si>
    <t>Ecografia obstétrica 2º trimestre, morfológica (idealmente realizada entre as 20 e as 22 semanas)</t>
  </si>
  <si>
    <t>Ecografia obstétrica 3º trimestre (idealmente realizada entre as 30 e as 32 semanas)</t>
  </si>
  <si>
    <t>Nota explicativa 1: Em gravidez múltipla, nas ecografias do 2ºe 3º trimestres, por cada feto é registado um exame.</t>
  </si>
  <si>
    <t>Ecografia pélvica por via suprapúbica</t>
  </si>
  <si>
    <t>Ecografia da mama e axila</t>
  </si>
  <si>
    <t>1565.1</t>
  </si>
  <si>
    <t>Ecografia ginecológica por via endocavitária</t>
  </si>
  <si>
    <t>Ecografia ginecológica por via endocavitária, com avaliação suprapúbica</t>
  </si>
  <si>
    <t>Ecografia vesical</t>
  </si>
  <si>
    <t>Ecografia dos tecidos moles</t>
  </si>
  <si>
    <t>ECOGRAFIA COM DOPPLER</t>
  </si>
  <si>
    <t>Doppler (adicional a qualquer dos exames de ecografia, exceto códigos da valência "Ecografia com doppler")</t>
  </si>
  <si>
    <t>Ecocardiografia transtorácica de sobrecarga com exercício, sem recurso a fármacos (ver tabela de Cardiologia, código 1542.3)</t>
  </si>
  <si>
    <t>Ecografia com doppler arterial cervical (inclui avaliação das carotídeas vertebral, bilateral)</t>
  </si>
  <si>
    <t>1556.1</t>
  </si>
  <si>
    <t>Ecografia com doppler do fígado e do sistema portal</t>
  </si>
  <si>
    <t>1557.1</t>
  </si>
  <si>
    <t>Ecografia com doppler renal</t>
  </si>
  <si>
    <t>Ecografia com doppler do sector arterial do membro inferior, cada membro</t>
  </si>
  <si>
    <t>Ecografia com doppler do sector venoso do membro inferior, cada membro</t>
  </si>
  <si>
    <t>Ecografia com doppler venosa cervical (inclui avaliação das jugulares e subclávias, bilateral)</t>
  </si>
  <si>
    <t>Ecografia com doppler, abdominal, cada víscera ou território vascular</t>
  </si>
  <si>
    <t>TOMOGRAFIA COMPUTORIZADA (TC)</t>
  </si>
  <si>
    <t xml:space="preserve">Considerando os exames de Tomografia Computorizada (TC) listados, clarifica-se que os códigos são referentes a exames sem produto de contraste e com uma posição de estudo. Os códigos de contraste são códigos adicionais aos restantes deste capítulo, quando aplicável. A realização de um exame com produto de contraste endovenoso implica o registo de um código TC e do código de produto de contraste. </t>
  </si>
  <si>
    <t>TC cranioencefálica</t>
  </si>
  <si>
    <t>TC dos tecidos moles do pescoço</t>
  </si>
  <si>
    <t>TC da coluna sacrococcígea</t>
  </si>
  <si>
    <t>Colonografia por TC (colonoscopia virtual)</t>
  </si>
  <si>
    <t>TC da pélvis</t>
  </si>
  <si>
    <t xml:space="preserve">TC do tórax </t>
  </si>
  <si>
    <t>MEMBROS</t>
  </si>
  <si>
    <t>TC do membro superior, cada segmento</t>
  </si>
  <si>
    <t>TC do membro inferior, cada segmento</t>
  </si>
  <si>
    <t>CONTRASTES</t>
  </si>
  <si>
    <t>PROCEDIMENTOS DE INTERVENÇÃO</t>
  </si>
  <si>
    <t xml:space="preserve">Os preços não incluem apoio imagiológico e anestesia, cuja facturação é adicional. </t>
  </si>
  <si>
    <t>Biópsia percutânea guiada por técnica de imagem</t>
  </si>
  <si>
    <t xml:space="preserve">Punção aspirativa para citologia guiada por técnica de imagem </t>
  </si>
  <si>
    <t>DIVERSOS</t>
  </si>
  <si>
    <t xml:space="preserve">a) A entrada em vigor deste código, carece de elaboração de Norma de Orientação Clínica da Direção Geral de Saúde </t>
  </si>
  <si>
    <t>b) Código reposto até 30/09/2026, inclusive, para parametrização nos sistemas de informação de novo código correspondente</t>
  </si>
  <si>
    <t>c) Entrada em vigor deste código a 01/10/2026, após parametrização dos sistemas de informação das entidades prescritoras e prestadoras</t>
  </si>
  <si>
    <t>Todos os actos de Cardiologia só estão completos se considerarem registo de imagem (sempre que implícito), interpretação médica e relatório médico</t>
  </si>
  <si>
    <t>ACTOS DIAGNÓSTICOS</t>
  </si>
  <si>
    <t>I ELECTROCARDIOLOGIA</t>
  </si>
  <si>
    <t xml:space="preserve">ECG simples de 12 derivações </t>
  </si>
  <si>
    <t>II ECOCARDIOGRAFIA</t>
  </si>
  <si>
    <t>Ecocardiograma transtorácico de sobrecarga com exercício, sem recurso a fármacos</t>
  </si>
  <si>
    <t>Ecografia com doppler arterial cervical (Inclui avaliação das carotídeas e vertebral bilateral) (ver Tabela de Radiologia código 356.5)</t>
  </si>
  <si>
    <t xml:space="preserve"> V OUTROS ESTUDOS </t>
  </si>
  <si>
    <t>Telerreabilitação</t>
  </si>
  <si>
    <t>1552.2</t>
  </si>
  <si>
    <t>Programa inicial de tratamento (12 meses)</t>
  </si>
  <si>
    <t>1553.2</t>
  </si>
  <si>
    <t>Programas subsequentes de tratamento (12 meses)</t>
  </si>
  <si>
    <t>Doppler Arterial Cervical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</si>
</sst>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_)"/>
    <numFmt numFmtId="165" formatCode="0.000"/>
    <numFmt numFmtId="166" formatCode="0_)"/>
    <numFmt numFmtId="167" formatCode="#,##0.0"/>
  </numFmts>
  <fonts count="8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Courier"/>
      <family val="3"/>
    </font>
    <font>
      <b/>
      <sz val="9"/>
      <name val="Comic Sans MS"/>
      <family val="4"/>
    </font>
    <font>
      <sz val="9"/>
      <name val="Comic Sans MS"/>
      <family val="4"/>
    </font>
    <font>
      <sz val="9"/>
      <color indexed="12"/>
      <name val="Comic Sans MS"/>
      <family val="4"/>
    </font>
    <font>
      <sz val="9"/>
      <color indexed="8"/>
      <name val="Comic Sans MS"/>
      <family val="4"/>
    </font>
    <font>
      <b/>
      <sz val="9"/>
      <color indexed="8"/>
      <name val="Comic Sans MS"/>
      <family val="4"/>
    </font>
    <font>
      <strike/>
      <sz val="9"/>
      <color indexed="8"/>
      <name val="Comic Sans MS"/>
      <family val="4"/>
    </font>
    <font>
      <b/>
      <sz val="9"/>
      <name val="Times New Roman"/>
      <family val="1"/>
    </font>
    <font>
      <sz val="9"/>
      <color indexed="8"/>
      <name val="Arial"/>
      <family val="2"/>
    </font>
    <font>
      <sz val="8"/>
      <name val="Comic Sans MS"/>
      <family val="4"/>
    </font>
    <font>
      <b/>
      <sz val="10"/>
      <color indexed="8"/>
      <name val="Comic Sans MS"/>
      <family val="4"/>
    </font>
    <font>
      <sz val="9"/>
      <color indexed="12"/>
      <name val="Arial"/>
      <family val="2"/>
    </font>
    <font>
      <sz val="9"/>
      <color indexed="17"/>
      <name val="Comic Sans MS"/>
      <family val="4"/>
    </font>
    <font>
      <sz val="9"/>
      <color indexed="9"/>
      <name val="Comic Sans MS"/>
      <family val="4"/>
    </font>
    <font>
      <sz val="9"/>
      <color indexed="9"/>
      <name val="Arial"/>
      <family val="2"/>
    </font>
    <font>
      <sz val="9"/>
      <color indexed="57"/>
      <name val="Comic Sans MS"/>
      <family val="4"/>
    </font>
    <font>
      <strike/>
      <sz val="9"/>
      <color indexed="17"/>
      <name val="Comic Sans MS"/>
      <family val="4"/>
    </font>
    <font>
      <sz val="7"/>
      <name val="Comic Sans MS"/>
      <family val="4"/>
    </font>
    <font>
      <sz val="10"/>
      <name val="Arial"/>
      <family val="2"/>
    </font>
    <font>
      <b/>
      <sz val="12"/>
      <name val="Comic Sans MS"/>
      <family val="4"/>
    </font>
    <font>
      <b/>
      <sz val="7"/>
      <name val="Comic Sans MS"/>
      <family val="4"/>
    </font>
    <font>
      <sz val="9"/>
      <color indexed="14"/>
      <name val="Comic Sans MS"/>
      <family val="4"/>
    </font>
    <font>
      <sz val="9"/>
      <color indexed="10"/>
      <name val="Comic Sans MS"/>
      <family val="4"/>
    </font>
    <font>
      <b/>
      <sz val="9"/>
      <color indexed="8"/>
      <name val="Times New Roman"/>
      <family val="1"/>
    </font>
    <font>
      <sz val="8"/>
      <color indexed="8"/>
      <name val="Arial"/>
      <family val="2"/>
    </font>
    <font>
      <strike/>
      <u val="double"/>
      <sz val="9"/>
      <color indexed="8"/>
      <name val="Comic Sans MS"/>
      <family val="4"/>
    </font>
    <font>
      <strike/>
      <u val="double"/>
      <sz val="9"/>
      <color indexed="9"/>
      <name val="Comic Sans MS"/>
      <family val="4"/>
    </font>
    <font>
      <sz val="9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1"/>
      <color indexed="17"/>
      <name val="Arial"/>
      <family val="2"/>
    </font>
    <font>
      <b/>
      <sz val="11"/>
      <color indexed="12"/>
      <name val="Arial"/>
      <family val="2"/>
    </font>
    <font>
      <b/>
      <sz val="9"/>
      <color indexed="8"/>
      <name val="Arial"/>
      <family val="2"/>
    </font>
    <font>
      <b/>
      <sz val="9"/>
      <color indexed="17"/>
      <name val="Arial"/>
      <family val="2"/>
    </font>
    <font>
      <b/>
      <sz val="9"/>
      <color indexed="12"/>
      <name val="Arial"/>
      <family val="2"/>
    </font>
    <font>
      <b/>
      <sz val="7"/>
      <color indexed="12"/>
      <name val="Arial"/>
      <family val="2"/>
    </font>
    <font>
      <sz val="9"/>
      <color indexed="17"/>
      <name val="Arial"/>
      <family val="2"/>
    </font>
    <font>
      <sz val="9"/>
      <color indexed="14"/>
      <name val="Arial"/>
      <family val="2"/>
    </font>
    <font>
      <strike/>
      <sz val="9"/>
      <color indexed="8"/>
      <name val="Arial"/>
      <family val="2"/>
    </font>
    <font>
      <strike/>
      <sz val="9"/>
      <color indexed="12"/>
      <name val="Arial"/>
      <family val="2"/>
    </font>
    <font>
      <sz val="8"/>
      <color indexed="17"/>
      <name val="Arial"/>
      <family val="2"/>
    </font>
    <font>
      <sz val="8"/>
      <color indexed="12"/>
      <name val="Arial"/>
      <family val="2"/>
    </font>
    <font>
      <strike/>
      <sz val="9"/>
      <color indexed="8"/>
      <name val="Times New Roman"/>
      <family val="1"/>
    </font>
    <font>
      <sz val="7"/>
      <color indexed="8"/>
      <name val="Arial"/>
      <family val="2"/>
    </font>
    <font>
      <i/>
      <sz val="9"/>
      <name val="Comic Sans MS"/>
      <family val="4"/>
    </font>
    <font>
      <b/>
      <strike/>
      <u val="double"/>
      <sz val="9"/>
      <color indexed="8"/>
      <name val="Times New Roman"/>
      <family val="1"/>
    </font>
    <font>
      <sz val="9"/>
      <color indexed="60"/>
      <name val="Comic Sans MS"/>
      <family val="4"/>
    </font>
    <font>
      <strike/>
      <sz val="9"/>
      <color indexed="14"/>
      <name val="Comic Sans MS"/>
      <family val="4"/>
    </font>
    <font>
      <sz val="8"/>
      <name val="Arial"/>
      <family val="2"/>
    </font>
    <font>
      <sz val="8"/>
      <name val="Verdana"/>
      <family val="2"/>
    </font>
    <font>
      <sz val="9"/>
      <name val="Arial Narrow"/>
      <family val="2"/>
    </font>
    <font>
      <b/>
      <sz val="9"/>
      <name val="Arial Narrow"/>
      <family val="2"/>
    </font>
    <font>
      <i/>
      <sz val="9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9"/>
      <color rgb="FF272B30"/>
      <name val="Arial Narrow"/>
      <family val="2"/>
    </font>
    <font>
      <sz val="9"/>
      <color rgb="FF272B30"/>
      <name val="Arial Narrow"/>
      <family val="2"/>
    </font>
    <font>
      <sz val="36"/>
      <name val="Arial Narrow"/>
      <family val="2"/>
    </font>
    <font>
      <sz val="11"/>
      <color rgb="FFFF0000"/>
      <name val="Calibri"/>
      <family val="2"/>
      <scheme val="minor"/>
    </font>
    <font>
      <b/>
      <sz val="12"/>
      <color theme="1"/>
      <name val="Arial Narrow"/>
      <family val="2"/>
    </font>
    <font>
      <sz val="9"/>
      <color theme="1"/>
      <name val="Arial Narrow"/>
      <family val="2"/>
    </font>
    <font>
      <b/>
      <sz val="9"/>
      <color theme="1"/>
      <name val="Arial Narrow"/>
      <family val="2"/>
    </font>
    <font>
      <sz val="9"/>
      <color theme="2" tint="-0.499984740745262"/>
      <name val="Arial Narrow"/>
      <family val="2"/>
    </font>
    <font>
      <b/>
      <sz val="9"/>
      <color theme="2" tint="-0.499984740745262"/>
      <name val="Arial Narrow"/>
      <family val="2"/>
    </font>
    <font>
      <sz val="8"/>
      <color theme="2" tint="-0.499984740745262"/>
      <name val="Arial Narrow"/>
      <family val="2"/>
    </font>
    <font>
      <sz val="10"/>
      <color theme="1"/>
      <name val="Arial Narrow"/>
      <family val="2"/>
    </font>
    <font>
      <i/>
      <sz val="9"/>
      <color theme="2" tint="-0.499984740745262"/>
      <name val="Arial Narrow"/>
      <family val="2"/>
    </font>
    <font>
      <b/>
      <sz val="8"/>
      <color theme="1"/>
      <name val="Arial Narrow"/>
      <family val="2"/>
    </font>
    <font>
      <sz val="8"/>
      <name val="Arial Narrow"/>
      <family val="2"/>
    </font>
    <font>
      <b/>
      <sz val="11"/>
      <name val="Arial Narrow"/>
      <family val="2"/>
    </font>
    <font>
      <b/>
      <sz val="8"/>
      <name val="Arial Narrow"/>
      <family val="2"/>
    </font>
    <font>
      <sz val="10"/>
      <color rgb="FFFF0000"/>
      <name val="Arial"/>
      <family val="2"/>
    </font>
    <font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Arial Narrow"/>
      <family val="2"/>
    </font>
    <font>
      <strike/>
      <u val="double"/>
      <sz val="8"/>
      <name val="Arial Narrow"/>
      <family val="2"/>
    </font>
    <font>
      <sz val="8"/>
      <color theme="2" tint="-0.249977111117893"/>
      <name val="Arial Narrow"/>
      <family val="2"/>
    </font>
    <font>
      <b/>
      <sz val="12"/>
      <name val="Arial Narrow"/>
      <family val="2"/>
    </font>
    <font>
      <sz val="8"/>
      <color theme="0" tint="-0.499984740745262"/>
      <name val="Arial Narrow"/>
      <family val="2"/>
    </font>
    <font>
      <b/>
      <sz val="8"/>
      <color theme="0" tint="-0.499984740745262"/>
      <name val="Arial Narrow"/>
      <family val="2"/>
    </font>
    <font>
      <sz val="9"/>
      <color theme="0" tint="-0.499984740745262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thin">
        <color indexed="2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55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55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55"/>
      </top>
      <bottom style="thin">
        <color indexed="55"/>
      </bottom>
      <diagonal/>
    </border>
    <border>
      <left style="thin">
        <color indexed="8"/>
      </left>
      <right style="thin">
        <color indexed="8"/>
      </right>
      <top style="thin">
        <color indexed="55"/>
      </top>
      <bottom style="thin">
        <color indexed="55"/>
      </bottom>
      <diagonal/>
    </border>
    <border>
      <left style="thin">
        <color indexed="8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thin">
        <color indexed="8"/>
      </right>
      <top style="thin">
        <color indexed="55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55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thin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000000"/>
      </left>
      <right style="medium">
        <color rgb="FF000000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/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 style="thin">
        <color rgb="FF00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000000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000000"/>
      </left>
      <right style="thin">
        <color rgb="FF00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000000"/>
      </left>
      <right style="medium">
        <color rgb="FF00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000000"/>
      </left>
      <right style="medium">
        <color rgb="FF000000"/>
      </right>
      <top style="thin">
        <color theme="0" tint="-0.24994659260841701"/>
      </top>
      <bottom style="thin">
        <color theme="0" tint="-0.34998626667073579"/>
      </bottom>
      <diagonal/>
    </border>
    <border>
      <left style="medium">
        <color indexed="64"/>
      </left>
      <right style="thin">
        <color rgb="FF000000"/>
      </right>
      <top/>
      <bottom style="thin">
        <color theme="0" tint="-0.34998626667073579"/>
      </bottom>
      <diagonal/>
    </border>
    <border>
      <left style="thin">
        <color rgb="FF000000"/>
      </left>
      <right/>
      <top/>
      <bottom style="thin">
        <color theme="0" tint="-0.34998626667073579"/>
      </bottom>
      <diagonal/>
    </border>
    <border>
      <left style="thin">
        <color rgb="FF000000"/>
      </left>
      <right style="thin">
        <color rgb="FF000000"/>
      </right>
      <top/>
      <bottom style="thin">
        <color theme="0" tint="-0.34998626667073579"/>
      </bottom>
      <diagonal/>
    </border>
    <border>
      <left style="thin">
        <color rgb="FF000000"/>
      </left>
      <right style="medium">
        <color rgb="FF000000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auto="1"/>
      </left>
      <right style="thin">
        <color rgb="FF000000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000000"/>
      </left>
      <right/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rgb="FF000000"/>
      </left>
      <right style="thin">
        <color rgb="FF000000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rgb="FF000000"/>
      </left>
      <right style="medium">
        <color rgb="FF000000"/>
      </right>
      <top style="thin">
        <color theme="0" tint="-0.34998626667073579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rgb="FF000000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rgb="FF000000"/>
      </left>
      <right/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rgb="FF000000"/>
      </left>
      <right style="thin">
        <color rgb="FF000000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2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000000"/>
      </left>
      <right style="thin">
        <color rgb="FF000000"/>
      </right>
      <top style="thin">
        <color theme="0" tint="-0.24994659260841701"/>
      </top>
      <bottom style="thin">
        <color theme="0" tint="-0.24994659260841701"/>
      </bottom>
      <diagonal/>
    </border>
  </borders>
  <cellStyleXfs count="8">
    <xf numFmtId="0" fontId="0" fillId="0" borderId="0"/>
    <xf numFmtId="0" fontId="24" fillId="0" borderId="0"/>
    <xf numFmtId="0" fontId="55" fillId="0" borderId="0"/>
    <xf numFmtId="164" fontId="6" fillId="0" borderId="0"/>
    <xf numFmtId="0" fontId="4" fillId="0" borderId="0"/>
    <xf numFmtId="0" fontId="3" fillId="0" borderId="0"/>
    <xf numFmtId="0" fontId="4" fillId="0" borderId="0"/>
    <xf numFmtId="0" fontId="2" fillId="0" borderId="0"/>
  </cellStyleXfs>
  <cellXfs count="512">
    <xf numFmtId="0" fontId="0" fillId="0" borderId="0" xfId="0"/>
    <xf numFmtId="1" fontId="8" fillId="0" borderId="0" xfId="0" applyNumberFormat="1" applyFont="1" applyAlignment="1">
      <alignment horizontal="center" vertical="top"/>
    </xf>
    <xf numFmtId="49" fontId="10" fillId="0" borderId="0" xfId="0" applyNumberFormat="1" applyFont="1" applyAlignment="1">
      <alignment horizontal="center" vertical="top"/>
    </xf>
    <xf numFmtId="49" fontId="11" fillId="2" borderId="1" xfId="0" applyNumberFormat="1" applyFont="1" applyFill="1" applyBorder="1" applyAlignment="1">
      <alignment horizontal="center" vertical="top" wrapText="1"/>
    </xf>
    <xf numFmtId="49" fontId="10" fillId="0" borderId="1" xfId="0" applyNumberFormat="1" applyFont="1" applyBorder="1" applyAlignment="1">
      <alignment horizontal="center" vertical="top" wrapText="1"/>
    </xf>
    <xf numFmtId="49" fontId="10" fillId="0" borderId="1" xfId="0" applyNumberFormat="1" applyFont="1" applyBorder="1" applyAlignment="1">
      <alignment horizontal="center" vertical="top"/>
    </xf>
    <xf numFmtId="1" fontId="8" fillId="0" borderId="2" xfId="0" applyNumberFormat="1" applyFont="1" applyBorder="1" applyAlignment="1">
      <alignment horizontal="center" vertical="top"/>
    </xf>
    <xf numFmtId="49" fontId="14" fillId="0" borderId="1" xfId="0" applyNumberFormat="1" applyFont="1" applyBorder="1" applyAlignment="1">
      <alignment horizontal="center" vertical="top" wrapText="1"/>
    </xf>
    <xf numFmtId="49" fontId="10" fillId="2" borderId="1" xfId="0" applyNumberFormat="1" applyFont="1" applyFill="1" applyBorder="1" applyAlignment="1">
      <alignment horizontal="center" vertical="top" wrapText="1"/>
    </xf>
    <xf numFmtId="49" fontId="11" fillId="0" borderId="1" xfId="0" applyNumberFormat="1" applyFont="1" applyBorder="1" applyAlignment="1">
      <alignment horizontal="center" vertical="top" wrapText="1"/>
    </xf>
    <xf numFmtId="49" fontId="12" fillId="0" borderId="1" xfId="0" applyNumberFormat="1" applyFont="1" applyBorder="1" applyAlignment="1">
      <alignment horizontal="center" vertical="top" wrapText="1"/>
    </xf>
    <xf numFmtId="49" fontId="10" fillId="3" borderId="1" xfId="0" applyNumberFormat="1" applyFont="1" applyFill="1" applyBorder="1" applyAlignment="1">
      <alignment horizontal="center" vertical="top" wrapText="1"/>
    </xf>
    <xf numFmtId="49" fontId="11" fillId="3" borderId="1" xfId="0" applyNumberFormat="1" applyFont="1" applyFill="1" applyBorder="1" applyAlignment="1">
      <alignment horizontal="center" vertical="top" wrapText="1"/>
    </xf>
    <xf numFmtId="49" fontId="18" fillId="0" borderId="1" xfId="0" applyNumberFormat="1" applyFont="1" applyBorder="1" applyAlignment="1">
      <alignment horizontal="center" vertical="top" wrapText="1"/>
    </xf>
    <xf numFmtId="49" fontId="19" fillId="0" borderId="1" xfId="0" applyNumberFormat="1" applyFont="1" applyBorder="1" applyAlignment="1">
      <alignment horizontal="center" vertical="top" wrapText="1"/>
    </xf>
    <xf numFmtId="49" fontId="20" fillId="0" borderId="1" xfId="0" applyNumberFormat="1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top"/>
    </xf>
    <xf numFmtId="49" fontId="21" fillId="0" borderId="1" xfId="0" applyNumberFormat="1" applyFont="1" applyBorder="1" applyAlignment="1">
      <alignment horizontal="center" vertical="top" wrapText="1"/>
    </xf>
    <xf numFmtId="49" fontId="22" fillId="0" borderId="1" xfId="0" applyNumberFormat="1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1" fontId="10" fillId="0" borderId="2" xfId="0" applyNumberFormat="1" applyFont="1" applyBorder="1" applyAlignment="1">
      <alignment horizontal="center" vertical="top"/>
    </xf>
    <xf numFmtId="1" fontId="10" fillId="0" borderId="1" xfId="0" applyNumberFormat="1" applyFont="1" applyBorder="1" applyAlignment="1">
      <alignment horizontal="center" vertical="top"/>
    </xf>
    <xf numFmtId="1" fontId="19" fillId="0" borderId="1" xfId="0" applyNumberFormat="1" applyFont="1" applyBorder="1" applyAlignment="1">
      <alignment horizontal="center" vertical="top"/>
    </xf>
    <xf numFmtId="1" fontId="28" fillId="0" borderId="1" xfId="0" applyNumberFormat="1" applyFont="1" applyBorder="1" applyAlignment="1">
      <alignment horizontal="center" vertical="top"/>
    </xf>
    <xf numFmtId="1" fontId="8" fillId="0" borderId="1" xfId="0" applyNumberFormat="1" applyFont="1" applyBorder="1" applyAlignment="1">
      <alignment horizontal="center" vertical="top"/>
    </xf>
    <xf numFmtId="1" fontId="9" fillId="0" borderId="2" xfId="0" applyNumberFormat="1" applyFont="1" applyBorder="1" applyAlignment="1">
      <alignment horizontal="center" vertical="top"/>
    </xf>
    <xf numFmtId="1" fontId="10" fillId="0" borderId="3" xfId="0" applyNumberFormat="1" applyFont="1" applyBorder="1" applyAlignment="1">
      <alignment horizontal="center" vertical="top"/>
    </xf>
    <xf numFmtId="1" fontId="9" fillId="0" borderId="1" xfId="0" applyNumberFormat="1" applyFont="1" applyBorder="1" applyAlignment="1">
      <alignment horizontal="center" vertical="top"/>
    </xf>
    <xf numFmtId="1" fontId="9" fillId="0" borderId="2" xfId="3" applyNumberFormat="1" applyFont="1" applyBorder="1" applyAlignment="1">
      <alignment horizontal="center" vertical="top"/>
    </xf>
    <xf numFmtId="1" fontId="27" fillId="0" borderId="1" xfId="0" applyNumberFormat="1" applyFont="1" applyBorder="1" applyAlignment="1">
      <alignment horizontal="center" vertical="top"/>
    </xf>
    <xf numFmtId="1" fontId="10" fillId="0" borderId="2" xfId="3" applyNumberFormat="1" applyFont="1" applyBorder="1" applyAlignment="1">
      <alignment horizontal="center" vertical="top"/>
    </xf>
    <xf numFmtId="1" fontId="10" fillId="0" borderId="1" xfId="3" applyNumberFormat="1" applyFont="1" applyBorder="1" applyAlignment="1">
      <alignment horizontal="center" vertical="top"/>
    </xf>
    <xf numFmtId="1" fontId="19" fillId="0" borderId="1" xfId="3" applyNumberFormat="1" applyFont="1" applyBorder="1" applyAlignment="1">
      <alignment horizontal="center" vertical="top"/>
    </xf>
    <xf numFmtId="1" fontId="8" fillId="0" borderId="1" xfId="0" applyNumberFormat="1" applyFont="1" applyBorder="1" applyAlignment="1">
      <alignment horizontal="center" vertical="top" wrapText="1"/>
    </xf>
    <xf numFmtId="1" fontId="8" fillId="0" borderId="1" xfId="3" applyNumberFormat="1" applyFont="1" applyBorder="1" applyAlignment="1">
      <alignment horizontal="center" vertical="top"/>
    </xf>
    <xf numFmtId="1" fontId="8" fillId="0" borderId="2" xfId="3" applyNumberFormat="1" applyFont="1" applyBorder="1" applyAlignment="1">
      <alignment horizontal="center" vertical="top"/>
    </xf>
    <xf numFmtId="1" fontId="9" fillId="0" borderId="1" xfId="3" applyNumberFormat="1" applyFont="1" applyBorder="1" applyAlignment="1">
      <alignment horizontal="center" vertical="top"/>
    </xf>
    <xf numFmtId="49" fontId="8" fillId="0" borderId="1" xfId="3" applyNumberFormat="1" applyFont="1" applyBorder="1" applyAlignment="1">
      <alignment horizontal="center" vertical="top" wrapText="1"/>
    </xf>
    <xf numFmtId="49" fontId="8" fillId="0" borderId="1" xfId="0" applyNumberFormat="1" applyFont="1" applyBorder="1" applyAlignment="1">
      <alignment horizontal="center" vertical="top" wrapText="1"/>
    </xf>
    <xf numFmtId="1" fontId="31" fillId="0" borderId="2" xfId="3" applyNumberFormat="1" applyFont="1" applyBorder="1" applyAlignment="1">
      <alignment horizontal="center" vertical="top"/>
    </xf>
    <xf numFmtId="1" fontId="31" fillId="0" borderId="1" xfId="3" applyNumberFormat="1" applyFont="1" applyBorder="1" applyAlignment="1">
      <alignment horizontal="center" vertical="top"/>
    </xf>
    <xf numFmtId="0" fontId="19" fillId="0" borderId="1" xfId="0" applyFont="1" applyBorder="1" applyAlignment="1">
      <alignment horizontal="center" vertical="top"/>
    </xf>
    <xf numFmtId="1" fontId="32" fillId="0" borderId="1" xfId="3" applyNumberFormat="1" applyFont="1" applyBorder="1" applyAlignment="1">
      <alignment horizontal="center" vertical="top"/>
    </xf>
    <xf numFmtId="1" fontId="9" fillId="0" borderId="2" xfId="3" applyNumberFormat="1" applyFont="1" applyBorder="1" applyAlignment="1">
      <alignment horizontal="center"/>
    </xf>
    <xf numFmtId="1" fontId="30" fillId="0" borderId="1" xfId="0" applyNumberFormat="1" applyFont="1" applyBorder="1" applyAlignment="1">
      <alignment horizontal="center" vertical="center" wrapText="1"/>
    </xf>
    <xf numFmtId="1" fontId="10" fillId="0" borderId="0" xfId="0" applyNumberFormat="1" applyFont="1" applyAlignment="1">
      <alignment horizontal="center" vertical="top"/>
    </xf>
    <xf numFmtId="0" fontId="34" fillId="0" borderId="0" xfId="0" applyFont="1" applyAlignment="1">
      <alignment horizontal="right" vertical="top"/>
    </xf>
    <xf numFmtId="0" fontId="34" fillId="0" borderId="0" xfId="0" applyFont="1" applyAlignment="1">
      <alignment horizontal="center" vertical="top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2" fontId="38" fillId="0" borderId="4" xfId="0" applyNumberFormat="1" applyFont="1" applyBorder="1" applyAlignment="1">
      <alignment horizontal="center" vertical="center" wrapText="1"/>
    </xf>
    <xf numFmtId="2" fontId="38" fillId="0" borderId="5" xfId="0" applyNumberFormat="1" applyFont="1" applyBorder="1" applyAlignment="1">
      <alignment horizontal="center" vertical="center" wrapText="1"/>
    </xf>
    <xf numFmtId="2" fontId="38" fillId="0" borderId="6" xfId="0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right" vertical="top"/>
    </xf>
    <xf numFmtId="2" fontId="38" fillId="0" borderId="8" xfId="0" applyNumberFormat="1" applyFont="1" applyBorder="1" applyAlignment="1">
      <alignment horizontal="justify" vertical="top"/>
    </xf>
    <xf numFmtId="2" fontId="14" fillId="0" borderId="9" xfId="0" applyNumberFormat="1" applyFont="1" applyBorder="1" applyAlignment="1">
      <alignment horizontal="right"/>
    </xf>
    <xf numFmtId="2" fontId="39" fillId="0" borderId="9" xfId="0" applyNumberFormat="1" applyFont="1" applyBorder="1" applyAlignment="1">
      <alignment horizontal="right"/>
    </xf>
    <xf numFmtId="2" fontId="41" fillId="0" borderId="10" xfId="0" applyNumberFormat="1" applyFont="1" applyBorder="1" applyAlignment="1">
      <alignment horizontal="center" vertical="center" wrapText="1"/>
    </xf>
    <xf numFmtId="1" fontId="14" fillId="0" borderId="11" xfId="0" applyNumberFormat="1" applyFont="1" applyBorder="1" applyAlignment="1">
      <alignment horizontal="right" vertical="top"/>
    </xf>
    <xf numFmtId="2" fontId="14" fillId="0" borderId="12" xfId="0" applyNumberFormat="1" applyFont="1" applyBorder="1" applyAlignment="1">
      <alignment horizontal="justify" vertical="top"/>
    </xf>
    <xf numFmtId="2" fontId="14" fillId="0" borderId="13" xfId="0" applyNumberFormat="1" applyFont="1" applyBorder="1" applyAlignment="1">
      <alignment horizontal="right"/>
    </xf>
    <xf numFmtId="2" fontId="42" fillId="0" borderId="13" xfId="0" applyNumberFormat="1" applyFont="1" applyBorder="1" applyAlignment="1">
      <alignment horizontal="right"/>
    </xf>
    <xf numFmtId="2" fontId="17" fillId="0" borderId="13" xfId="0" applyNumberFormat="1" applyFont="1" applyBorder="1" applyAlignment="1">
      <alignment horizontal="right"/>
    </xf>
    <xf numFmtId="0" fontId="14" fillId="0" borderId="11" xfId="0" applyFont="1" applyBorder="1" applyAlignment="1">
      <alignment horizontal="right" vertical="top"/>
    </xf>
    <xf numFmtId="2" fontId="17" fillId="0" borderId="13" xfId="0" applyNumberFormat="1" applyFont="1" applyBorder="1"/>
    <xf numFmtId="2" fontId="14" fillId="0" borderId="13" xfId="0" applyNumberFormat="1" applyFont="1" applyBorder="1"/>
    <xf numFmtId="2" fontId="42" fillId="0" borderId="13" xfId="0" applyNumberFormat="1" applyFont="1" applyBorder="1"/>
    <xf numFmtId="2" fontId="40" fillId="0" borderId="13" xfId="0" applyNumberFormat="1" applyFont="1" applyBorder="1"/>
    <xf numFmtId="2" fontId="38" fillId="0" borderId="12" xfId="0" applyNumberFormat="1" applyFont="1" applyBorder="1" applyAlignment="1">
      <alignment horizontal="justify" vertical="top"/>
    </xf>
    <xf numFmtId="2" fontId="39" fillId="0" borderId="13" xfId="0" applyNumberFormat="1" applyFont="1" applyBorder="1"/>
    <xf numFmtId="2" fontId="43" fillId="0" borderId="13" xfId="0" applyNumberFormat="1" applyFont="1" applyBorder="1" applyAlignment="1">
      <alignment horizontal="right"/>
    </xf>
    <xf numFmtId="2" fontId="38" fillId="0" borderId="12" xfId="0" applyNumberFormat="1" applyFont="1" applyBorder="1" applyAlignment="1">
      <alignment horizontal="justify" vertical="top" wrapText="1"/>
    </xf>
    <xf numFmtId="2" fontId="14" fillId="0" borderId="13" xfId="0" quotePrefix="1" applyNumberFormat="1" applyFont="1" applyBorder="1" applyAlignment="1">
      <alignment horizontal="right"/>
    </xf>
    <xf numFmtId="0" fontId="14" fillId="0" borderId="11" xfId="0" applyFont="1" applyBorder="1" applyAlignment="1">
      <alignment horizontal="right" vertical="top" wrapText="1"/>
    </xf>
    <xf numFmtId="0" fontId="44" fillId="0" borderId="11" xfId="0" applyFont="1" applyBorder="1" applyAlignment="1">
      <alignment horizontal="right" vertical="top" wrapText="1"/>
    </xf>
    <xf numFmtId="2" fontId="14" fillId="0" borderId="12" xfId="0" applyNumberFormat="1" applyFont="1" applyBorder="1" applyAlignment="1">
      <alignment horizontal="left" vertical="top"/>
    </xf>
    <xf numFmtId="2" fontId="14" fillId="0" borderId="12" xfId="0" applyNumberFormat="1" applyFont="1" applyBorder="1" applyAlignment="1">
      <alignment horizontal="left" vertical="top" indent="2"/>
    </xf>
    <xf numFmtId="164" fontId="14" fillId="0" borderId="11" xfId="3" applyFont="1" applyBorder="1" applyAlignment="1">
      <alignment horizontal="right" vertical="top" wrapText="1"/>
    </xf>
    <xf numFmtId="0" fontId="14" fillId="0" borderId="11" xfId="4" applyFont="1" applyBorder="1" applyAlignment="1">
      <alignment horizontal="right" vertical="top"/>
    </xf>
    <xf numFmtId="0" fontId="14" fillId="0" borderId="12" xfId="0" applyFont="1" applyBorder="1" applyAlignment="1">
      <alignment horizontal="left" vertical="top" wrapText="1" indent="2"/>
    </xf>
    <xf numFmtId="2" fontId="40" fillId="0" borderId="13" xfId="0" applyNumberFormat="1" applyFont="1" applyBorder="1" applyAlignment="1">
      <alignment horizontal="right"/>
    </xf>
    <xf numFmtId="2" fontId="39" fillId="0" borderId="13" xfId="0" applyNumberFormat="1" applyFont="1" applyBorder="1" applyAlignment="1">
      <alignment horizontal="right"/>
    </xf>
    <xf numFmtId="2" fontId="42" fillId="0" borderId="13" xfId="0" applyNumberFormat="1" applyFont="1" applyBorder="1" applyAlignment="1">
      <alignment horizontal="right" vertical="top" wrapText="1"/>
    </xf>
    <xf numFmtId="2" fontId="14" fillId="0" borderId="12" xfId="0" applyNumberFormat="1" applyFont="1" applyBorder="1" applyAlignment="1">
      <alignment horizontal="left" vertical="top" wrapText="1" indent="2"/>
    </xf>
    <xf numFmtId="4" fontId="14" fillId="0" borderId="12" xfId="0" applyNumberFormat="1" applyFont="1" applyBorder="1" applyAlignment="1">
      <alignment horizontal="justify" vertical="top"/>
    </xf>
    <xf numFmtId="2" fontId="45" fillId="0" borderId="13" xfId="0" applyNumberFormat="1" applyFont="1" applyBorder="1" applyAlignment="1">
      <alignment horizontal="right"/>
    </xf>
    <xf numFmtId="2" fontId="30" fillId="0" borderId="13" xfId="0" applyNumberFormat="1" applyFont="1" applyBorder="1" applyAlignment="1">
      <alignment horizontal="right"/>
    </xf>
    <xf numFmtId="2" fontId="46" fillId="0" borderId="13" xfId="0" applyNumberFormat="1" applyFont="1" applyBorder="1" applyAlignment="1">
      <alignment horizontal="right"/>
    </xf>
    <xf numFmtId="2" fontId="47" fillId="0" borderId="13" xfId="0" applyNumberFormat="1" applyFont="1" applyBorder="1" applyAlignment="1">
      <alignment horizontal="right"/>
    </xf>
    <xf numFmtId="0" fontId="14" fillId="0" borderId="14" xfId="0" applyFont="1" applyBorder="1" applyAlignment="1">
      <alignment horizontal="right" vertical="top" wrapText="1"/>
    </xf>
    <xf numFmtId="2" fontId="14" fillId="0" borderId="15" xfId="0" applyNumberFormat="1" applyFont="1" applyBorder="1" applyAlignment="1">
      <alignment horizontal="justify" vertical="top"/>
    </xf>
    <xf numFmtId="2" fontId="14" fillId="0" borderId="16" xfId="0" applyNumberFormat="1" applyFont="1" applyBorder="1" applyAlignment="1">
      <alignment horizontal="right"/>
    </xf>
    <xf numFmtId="2" fontId="42" fillId="0" borderId="17" xfId="0" applyNumberFormat="1" applyFont="1" applyBorder="1" applyAlignment="1">
      <alignment horizontal="right"/>
    </xf>
    <xf numFmtId="0" fontId="30" fillId="0" borderId="0" xfId="0" applyFont="1" applyAlignment="1">
      <alignment horizontal="right" vertical="top"/>
    </xf>
    <xf numFmtId="2" fontId="14" fillId="0" borderId="0" xfId="0" applyNumberFormat="1" applyFont="1" applyAlignment="1">
      <alignment horizontal="justify" vertical="top"/>
    </xf>
    <xf numFmtId="2" fontId="14" fillId="0" borderId="0" xfId="0" applyNumberFormat="1" applyFont="1"/>
    <xf numFmtId="2" fontId="42" fillId="0" borderId="0" xfId="0" applyNumberFormat="1" applyFont="1"/>
    <xf numFmtId="1" fontId="30" fillId="0" borderId="0" xfId="0" applyNumberFormat="1" applyFont="1"/>
    <xf numFmtId="1" fontId="49" fillId="0" borderId="0" xfId="0" applyNumberFormat="1" applyFont="1"/>
    <xf numFmtId="2" fontId="30" fillId="0" borderId="0" xfId="0" applyNumberFormat="1" applyFont="1" applyAlignment="1">
      <alignment horizontal="justify" vertical="top"/>
    </xf>
    <xf numFmtId="1" fontId="46" fillId="0" borderId="0" xfId="0" applyNumberFormat="1" applyFont="1"/>
    <xf numFmtId="0" fontId="30" fillId="0" borderId="0" xfId="0" applyFont="1" applyAlignment="1">
      <alignment horizontal="justify" vertical="top" wrapText="1"/>
    </xf>
    <xf numFmtId="2" fontId="30" fillId="0" borderId="0" xfId="0" applyNumberFormat="1" applyFont="1" applyAlignment="1">
      <alignment horizontal="right" vertical="top" wrapText="1"/>
    </xf>
    <xf numFmtId="165" fontId="46" fillId="0" borderId="0" xfId="0" applyNumberFormat="1" applyFont="1" applyAlignment="1">
      <alignment horizontal="right" vertical="top" wrapText="1"/>
    </xf>
    <xf numFmtId="0" fontId="30" fillId="0" borderId="0" xfId="0" applyFont="1" applyAlignment="1">
      <alignment horizontal="right" vertical="top" wrapText="1"/>
    </xf>
    <xf numFmtId="2" fontId="30" fillId="0" borderId="0" xfId="0" applyNumberFormat="1" applyFont="1"/>
    <xf numFmtId="2" fontId="46" fillId="0" borderId="0" xfId="0" applyNumberFormat="1" applyFont="1"/>
    <xf numFmtId="0" fontId="46" fillId="0" borderId="0" xfId="0" applyFont="1" applyAlignment="1">
      <alignment horizontal="justify" vertical="top" wrapText="1"/>
    </xf>
    <xf numFmtId="2" fontId="47" fillId="0" borderId="0" xfId="0" applyNumberFormat="1" applyFont="1"/>
    <xf numFmtId="0" fontId="33" fillId="0" borderId="0" xfId="0" applyFont="1" applyAlignment="1">
      <alignment horizontal="right" vertical="top"/>
    </xf>
    <xf numFmtId="2" fontId="17" fillId="0" borderId="0" xfId="0" applyNumberFormat="1" applyFont="1"/>
    <xf numFmtId="2" fontId="33" fillId="0" borderId="0" xfId="0" applyNumberFormat="1" applyFont="1" applyAlignment="1">
      <alignment horizontal="justify" vertical="top"/>
    </xf>
    <xf numFmtId="0" fontId="37" fillId="0" borderId="0" xfId="0" applyFont="1" applyAlignment="1">
      <alignment horizontal="center"/>
    </xf>
    <xf numFmtId="2" fontId="17" fillId="0" borderId="16" xfId="0" applyNumberFormat="1" applyFont="1" applyBorder="1" applyAlignment="1">
      <alignment horizontal="right"/>
    </xf>
    <xf numFmtId="0" fontId="47" fillId="0" borderId="0" xfId="0" applyFont="1" applyAlignment="1">
      <alignment horizontal="justify" vertical="top" wrapText="1"/>
    </xf>
    <xf numFmtId="49" fontId="17" fillId="0" borderId="1" xfId="0" applyNumberFormat="1" applyFont="1" applyBorder="1" applyAlignment="1">
      <alignment horizontal="center" vertical="center" wrapText="1"/>
    </xf>
    <xf numFmtId="49" fontId="52" fillId="4" borderId="1" xfId="0" applyNumberFormat="1" applyFont="1" applyFill="1" applyBorder="1" applyAlignment="1">
      <alignment horizontal="center" vertical="top" wrapText="1"/>
    </xf>
    <xf numFmtId="0" fontId="8" fillId="0" borderId="1" xfId="0" applyFont="1" applyBorder="1"/>
    <xf numFmtId="164" fontId="8" fillId="0" borderId="1" xfId="3" applyFont="1" applyBorder="1" applyAlignment="1">
      <alignment horizontal="justify" vertical="top" wrapText="1"/>
    </xf>
    <xf numFmtId="1" fontId="10" fillId="3" borderId="1" xfId="3" applyNumberFormat="1" applyFont="1" applyFill="1" applyBorder="1" applyAlignment="1">
      <alignment horizontal="center" vertical="top"/>
    </xf>
    <xf numFmtId="1" fontId="8" fillId="3" borderId="1" xfId="0" applyNumberFormat="1" applyFont="1" applyFill="1" applyBorder="1" applyAlignment="1">
      <alignment horizontal="center" vertical="top"/>
    </xf>
    <xf numFmtId="0" fontId="0" fillId="0" borderId="1" xfId="0" applyBorder="1"/>
    <xf numFmtId="1" fontId="10" fillId="0" borderId="0" xfId="3" applyNumberFormat="1" applyFont="1" applyAlignment="1">
      <alignment horizontal="center" vertical="top"/>
    </xf>
    <xf numFmtId="1" fontId="8" fillId="0" borderId="0" xfId="0" applyNumberFormat="1" applyFont="1" applyAlignment="1">
      <alignment horizontal="center" vertical="top" wrapText="1"/>
    </xf>
    <xf numFmtId="1" fontId="8" fillId="0" borderId="18" xfId="0" applyNumberFormat="1" applyFont="1" applyBorder="1" applyAlignment="1">
      <alignment horizontal="center" vertical="top" wrapText="1"/>
    </xf>
    <xf numFmtId="2" fontId="16" fillId="5" borderId="1" xfId="0" applyNumberFormat="1" applyFont="1" applyFill="1" applyBorder="1" applyAlignment="1">
      <alignment horizontal="center" wrapText="1"/>
    </xf>
    <xf numFmtId="1" fontId="10" fillId="0" borderId="20" xfId="3" applyNumberFormat="1" applyFont="1" applyBorder="1" applyAlignment="1">
      <alignment horizontal="center" vertical="top"/>
    </xf>
    <xf numFmtId="1" fontId="11" fillId="0" borderId="1" xfId="3" applyNumberFormat="1" applyFont="1" applyBorder="1" applyAlignment="1">
      <alignment vertical="top"/>
    </xf>
    <xf numFmtId="49" fontId="10" fillId="0" borderId="0" xfId="0" applyNumberFormat="1" applyFont="1" applyAlignment="1">
      <alignment horizontal="center" vertical="top" wrapText="1"/>
    </xf>
    <xf numFmtId="49" fontId="11" fillId="2" borderId="20" xfId="0" applyNumberFormat="1" applyFont="1" applyFill="1" applyBorder="1" applyAlignment="1">
      <alignment horizontal="center" vertical="top" wrapText="1"/>
    </xf>
    <xf numFmtId="49" fontId="10" fillId="0" borderId="18" xfId="0" applyNumberFormat="1" applyFont="1" applyBorder="1" applyAlignment="1">
      <alignment horizontal="center" vertical="top" wrapText="1"/>
    </xf>
    <xf numFmtId="49" fontId="10" fillId="0" borderId="19" xfId="0" applyNumberFormat="1" applyFont="1" applyBorder="1" applyAlignment="1">
      <alignment horizontal="center" vertical="top" wrapText="1"/>
    </xf>
    <xf numFmtId="0" fontId="16" fillId="5" borderId="1" xfId="0" applyFont="1" applyFill="1" applyBorder="1" applyAlignment="1">
      <alignment horizontal="center" vertical="center"/>
    </xf>
    <xf numFmtId="1" fontId="8" fillId="0" borderId="21" xfId="0" applyNumberFormat="1" applyFont="1" applyBorder="1" applyAlignment="1">
      <alignment horizontal="center" vertical="top"/>
    </xf>
    <xf numFmtId="1" fontId="8" fillId="2" borderId="21" xfId="0" applyNumberFormat="1" applyFont="1" applyFill="1" applyBorder="1" applyAlignment="1">
      <alignment horizontal="center" vertical="top"/>
    </xf>
    <xf numFmtId="164" fontId="8" fillId="0" borderId="22" xfId="3" applyFont="1" applyBorder="1" applyAlignment="1">
      <alignment horizontal="justify" vertical="top" wrapText="1"/>
    </xf>
    <xf numFmtId="1" fontId="8" fillId="0" borderId="23" xfId="0" applyNumberFormat="1" applyFont="1" applyBorder="1" applyAlignment="1">
      <alignment horizontal="center" vertical="top"/>
    </xf>
    <xf numFmtId="49" fontId="8" fillId="0" borderId="22" xfId="0" applyNumberFormat="1" applyFont="1" applyBorder="1" applyAlignment="1">
      <alignment horizontal="center" vertical="top" wrapText="1"/>
    </xf>
    <xf numFmtId="164" fontId="23" fillId="0" borderId="22" xfId="3" applyFont="1" applyBorder="1" applyAlignment="1">
      <alignment horizontal="justify" vertical="top" wrapText="1"/>
    </xf>
    <xf numFmtId="49" fontId="53" fillId="0" borderId="1" xfId="0" applyNumberFormat="1" applyFont="1" applyBorder="1" applyAlignment="1">
      <alignment horizontal="center" vertical="top" wrapText="1"/>
    </xf>
    <xf numFmtId="49" fontId="8" fillId="0" borderId="0" xfId="0" applyNumberFormat="1" applyFont="1" applyAlignment="1">
      <alignment horizontal="center" vertical="top"/>
    </xf>
    <xf numFmtId="1" fontId="7" fillId="2" borderId="24" xfId="0" applyNumberFormat="1" applyFont="1" applyFill="1" applyBorder="1" applyAlignment="1">
      <alignment horizontal="center" vertical="distributed" wrapText="1"/>
    </xf>
    <xf numFmtId="4" fontId="8" fillId="0" borderId="22" xfId="0" applyNumberFormat="1" applyFont="1" applyBorder="1" applyAlignment="1">
      <alignment horizontal="left" vertical="top"/>
    </xf>
    <xf numFmtId="0" fontId="8" fillId="0" borderId="22" xfId="0" applyFont="1" applyBorder="1" applyAlignment="1">
      <alignment horizontal="justify" vertical="top" wrapText="1"/>
    </xf>
    <xf numFmtId="4" fontId="8" fillId="0" borderId="22" xfId="0" applyNumberFormat="1" applyFont="1" applyBorder="1" applyAlignment="1">
      <alignment horizontal="left" vertical="top" wrapText="1"/>
    </xf>
    <xf numFmtId="4" fontId="8" fillId="0" borderId="22" xfId="0" applyNumberFormat="1" applyFont="1" applyBorder="1" applyAlignment="1">
      <alignment horizontal="justify" vertical="top" wrapText="1"/>
    </xf>
    <xf numFmtId="4" fontId="8" fillId="0" borderId="22" xfId="0" applyNumberFormat="1" applyFont="1" applyBorder="1" applyAlignment="1">
      <alignment horizontal="justify" vertical="top"/>
    </xf>
    <xf numFmtId="49" fontId="8" fillId="0" borderId="22" xfId="3" applyNumberFormat="1" applyFont="1" applyBorder="1" applyAlignment="1">
      <alignment horizontal="justify" vertical="top" wrapText="1"/>
    </xf>
    <xf numFmtId="0" fontId="26" fillId="0" borderId="22" xfId="0" applyFont="1" applyBorder="1" applyAlignment="1">
      <alignment horizontal="justify" vertical="top" wrapText="1"/>
    </xf>
    <xf numFmtId="164" fontId="7" fillId="0" borderId="22" xfId="3" applyFont="1" applyBorder="1" applyAlignment="1">
      <alignment horizontal="center" vertical="top" wrapText="1"/>
    </xf>
    <xf numFmtId="1" fontId="7" fillId="2" borderId="22" xfId="0" applyNumberFormat="1" applyFont="1" applyFill="1" applyBorder="1" applyAlignment="1">
      <alignment horizontal="center" vertical="distributed" wrapText="1"/>
    </xf>
    <xf numFmtId="49" fontId="7" fillId="0" borderId="22" xfId="0" applyNumberFormat="1" applyFont="1" applyBorder="1" applyAlignment="1">
      <alignment horizontal="center" vertical="top" wrapText="1"/>
    </xf>
    <xf numFmtId="1" fontId="7" fillId="0" borderId="22" xfId="0" applyNumberFormat="1" applyFont="1" applyBorder="1" applyAlignment="1">
      <alignment horizontal="center" vertical="distributed" wrapText="1"/>
    </xf>
    <xf numFmtId="1" fontId="15" fillId="0" borderId="22" xfId="0" applyNumberFormat="1" applyFont="1" applyBorder="1" applyAlignment="1">
      <alignment horizontal="center" vertical="distributed" wrapText="1"/>
    </xf>
    <xf numFmtId="1" fontId="15" fillId="0" borderId="22" xfId="0" applyNumberFormat="1" applyFont="1" applyBorder="1" applyAlignment="1">
      <alignment horizontal="justify" vertical="top" wrapText="1"/>
    </xf>
    <xf numFmtId="49" fontId="8" fillId="0" borderId="25" xfId="0" applyNumberFormat="1" applyFont="1" applyBorder="1" applyAlignment="1">
      <alignment horizontal="center" vertical="top" wrapText="1"/>
    </xf>
    <xf numFmtId="1" fontId="8" fillId="0" borderId="0" xfId="0" applyNumberFormat="1" applyFont="1" applyAlignment="1">
      <alignment horizontal="justify" vertical="top" wrapText="1"/>
    </xf>
    <xf numFmtId="1" fontId="29" fillId="0" borderId="26" xfId="3" applyNumberFormat="1" applyFont="1" applyBorder="1" applyAlignment="1">
      <alignment horizontal="center" vertical="top"/>
    </xf>
    <xf numFmtId="1" fontId="29" fillId="0" borderId="27" xfId="3" applyNumberFormat="1" applyFont="1" applyBorder="1" applyAlignment="1">
      <alignment horizontal="center" vertical="top"/>
    </xf>
    <xf numFmtId="1" fontId="29" fillId="0" borderId="27" xfId="0" applyNumberFormat="1" applyFont="1" applyBorder="1" applyAlignment="1">
      <alignment horizontal="center" vertical="top"/>
    </xf>
    <xf numFmtId="1" fontId="51" fillId="0" borderId="27" xfId="3" applyNumberFormat="1" applyFont="1" applyBorder="1" applyAlignment="1">
      <alignment horizontal="center" vertical="top"/>
    </xf>
    <xf numFmtId="1" fontId="29" fillId="0" borderId="27" xfId="0" applyNumberFormat="1" applyFont="1" applyBorder="1" applyAlignment="1">
      <alignment horizontal="center" vertical="center"/>
    </xf>
    <xf numFmtId="1" fontId="13" fillId="0" borderId="27" xfId="3" applyNumberFormat="1" applyFont="1" applyBorder="1" applyAlignment="1">
      <alignment horizontal="center" vertical="top"/>
    </xf>
    <xf numFmtId="1" fontId="29" fillId="0" borderId="0" xfId="0" applyNumberFormat="1" applyFont="1" applyAlignment="1">
      <alignment horizontal="center" vertical="top"/>
    </xf>
    <xf numFmtId="0" fontId="29" fillId="0" borderId="28" xfId="0" applyFont="1" applyBorder="1" applyAlignment="1">
      <alignment horizontal="center" vertical="top"/>
    </xf>
    <xf numFmtId="1" fontId="0" fillId="0" borderId="0" xfId="0" applyNumberFormat="1"/>
    <xf numFmtId="1" fontId="10" fillId="6" borderId="2" xfId="0" applyNumberFormat="1" applyFont="1" applyFill="1" applyBorder="1" applyAlignment="1">
      <alignment horizontal="center" vertical="top"/>
    </xf>
    <xf numFmtId="1" fontId="7" fillId="2" borderId="29" xfId="0" applyNumberFormat="1" applyFont="1" applyFill="1" applyBorder="1" applyAlignment="1">
      <alignment horizontal="center" vertical="top" wrapText="1"/>
    </xf>
    <xf numFmtId="49" fontId="7" fillId="2" borderId="24" xfId="0" applyNumberFormat="1" applyFont="1" applyFill="1" applyBorder="1" applyAlignment="1">
      <alignment horizontal="center" vertical="top" wrapText="1"/>
    </xf>
    <xf numFmtId="49" fontId="7" fillId="2" borderId="22" xfId="0" applyNumberFormat="1" applyFont="1" applyFill="1" applyBorder="1" applyAlignment="1">
      <alignment horizontal="center" vertical="top" wrapText="1"/>
    </xf>
    <xf numFmtId="49" fontId="8" fillId="2" borderId="22" xfId="0" applyNumberFormat="1" applyFont="1" applyFill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164" fontId="7" fillId="2" borderId="22" xfId="3" applyFont="1" applyFill="1" applyBorder="1" applyAlignment="1">
      <alignment horizontal="center" vertical="distributed" wrapText="1"/>
    </xf>
    <xf numFmtId="1" fontId="7" fillId="0" borderId="0" xfId="0" applyNumberFormat="1" applyFont="1" applyAlignment="1">
      <alignment horizontal="center" vertical="top" wrapText="1"/>
    </xf>
    <xf numFmtId="0" fontId="8" fillId="0" borderId="0" xfId="0" applyFont="1"/>
    <xf numFmtId="2" fontId="8" fillId="2" borderId="24" xfId="0" applyNumberFormat="1" applyFont="1" applyFill="1" applyBorder="1"/>
    <xf numFmtId="0" fontId="24" fillId="0" borderId="0" xfId="0" applyFont="1"/>
    <xf numFmtId="164" fontId="8" fillId="0" borderId="25" xfId="3" applyFont="1" applyBorder="1" applyAlignment="1">
      <alignment horizontal="justify" vertical="top" wrapText="1"/>
    </xf>
    <xf numFmtId="1" fontId="7" fillId="0" borderId="30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4" fontId="8" fillId="0" borderId="22" xfId="0" applyNumberFormat="1" applyFont="1" applyBorder="1" applyAlignment="1">
      <alignment horizontal="right"/>
    </xf>
    <xf numFmtId="4" fontId="8" fillId="2" borderId="22" xfId="0" applyNumberFormat="1" applyFont="1" applyFill="1" applyBorder="1" applyAlignment="1">
      <alignment horizontal="right"/>
    </xf>
    <xf numFmtId="4" fontId="8" fillId="0" borderId="25" xfId="0" applyNumberFormat="1" applyFont="1" applyBorder="1" applyAlignment="1">
      <alignment horizontal="right"/>
    </xf>
    <xf numFmtId="2" fontId="8" fillId="2" borderId="31" xfId="0" applyNumberFormat="1" applyFont="1" applyFill="1" applyBorder="1"/>
    <xf numFmtId="4" fontId="8" fillId="0" borderId="32" xfId="0" applyNumberFormat="1" applyFont="1" applyBorder="1" applyAlignment="1">
      <alignment horizontal="right"/>
    </xf>
    <xf numFmtId="4" fontId="8" fillId="2" borderId="32" xfId="0" applyNumberFormat="1" applyFont="1" applyFill="1" applyBorder="1" applyAlignment="1">
      <alignment horizontal="right"/>
    </xf>
    <xf numFmtId="4" fontId="8" fillId="0" borderId="33" xfId="0" applyNumberFormat="1" applyFont="1" applyBorder="1" applyAlignment="1">
      <alignment horizontal="right"/>
    </xf>
    <xf numFmtId="49" fontId="7" fillId="2" borderId="32" xfId="0" applyNumberFormat="1" applyFont="1" applyFill="1" applyBorder="1" applyAlignment="1">
      <alignment horizontal="center" vertical="top" wrapText="1"/>
    </xf>
    <xf numFmtId="1" fontId="25" fillId="0" borderId="0" xfId="0" applyNumberFormat="1" applyFont="1" applyAlignment="1">
      <alignment vertical="center"/>
    </xf>
    <xf numFmtId="0" fontId="56" fillId="0" borderId="0" xfId="0" applyFont="1" applyAlignment="1">
      <alignment vertical="center"/>
    </xf>
    <xf numFmtId="0" fontId="59" fillId="0" borderId="0" xfId="0" applyFont="1"/>
    <xf numFmtId="0" fontId="59" fillId="0" borderId="0" xfId="0" applyFont="1" applyAlignment="1">
      <alignment wrapText="1"/>
    </xf>
    <xf numFmtId="0" fontId="56" fillId="0" borderId="0" xfId="0" applyFont="1"/>
    <xf numFmtId="0" fontId="62" fillId="0" borderId="0" xfId="0" applyFont="1" applyAlignment="1">
      <alignment horizontal="left" vertical="center"/>
    </xf>
    <xf numFmtId="0" fontId="56" fillId="0" borderId="0" xfId="0" applyFont="1" applyAlignment="1">
      <alignment wrapText="1"/>
    </xf>
    <xf numFmtId="0" fontId="62" fillId="0" borderId="0" xfId="0" applyFont="1"/>
    <xf numFmtId="0" fontId="61" fillId="7" borderId="34" xfId="0" applyFont="1" applyFill="1" applyBorder="1" applyAlignment="1">
      <alignment horizontal="center" vertical="center" wrapText="1"/>
    </xf>
    <xf numFmtId="0" fontId="62" fillId="7" borderId="34" xfId="0" applyFont="1" applyFill="1" applyBorder="1" applyAlignment="1">
      <alignment vertical="top" wrapText="1"/>
    </xf>
    <xf numFmtId="0" fontId="62" fillId="7" borderId="34" xfId="0" applyFont="1" applyFill="1" applyBorder="1" applyAlignment="1">
      <alignment vertical="center" wrapText="1"/>
    </xf>
    <xf numFmtId="0" fontId="62" fillId="7" borderId="34" xfId="0" applyFont="1" applyFill="1" applyBorder="1" applyAlignment="1">
      <alignment horizontal="center" vertical="center" wrapText="1"/>
    </xf>
    <xf numFmtId="0" fontId="62" fillId="7" borderId="44" xfId="0" applyFont="1" applyFill="1" applyBorder="1" applyAlignment="1">
      <alignment horizontal="center" vertical="center" wrapText="1"/>
    </xf>
    <xf numFmtId="0" fontId="62" fillId="7" borderId="44" xfId="0" applyFont="1" applyFill="1" applyBorder="1" applyAlignment="1">
      <alignment vertical="center" wrapText="1"/>
    </xf>
    <xf numFmtId="0" fontId="61" fillId="7" borderId="44" xfId="0" applyFont="1" applyFill="1" applyBorder="1" applyAlignment="1">
      <alignment horizontal="center" vertical="center" wrapText="1"/>
    </xf>
    <xf numFmtId="0" fontId="61" fillId="7" borderId="47" xfId="0" applyFont="1" applyFill="1" applyBorder="1" applyAlignment="1">
      <alignment horizontal="center" vertical="center" wrapText="1"/>
    </xf>
    <xf numFmtId="0" fontId="62" fillId="7" borderId="47" xfId="0" applyFont="1" applyFill="1" applyBorder="1" applyAlignment="1">
      <alignment vertical="top" wrapText="1"/>
    </xf>
    <xf numFmtId="0" fontId="62" fillId="7" borderId="47" xfId="0" applyFont="1" applyFill="1" applyBorder="1" applyAlignment="1">
      <alignment horizontal="center" vertical="center" wrapText="1"/>
    </xf>
    <xf numFmtId="0" fontId="62" fillId="7" borderId="47" xfId="0" applyFont="1" applyFill="1" applyBorder="1" applyAlignment="1">
      <alignment vertical="center"/>
    </xf>
    <xf numFmtId="0" fontId="62" fillId="7" borderId="48" xfId="0" applyFont="1" applyFill="1" applyBorder="1" applyAlignment="1">
      <alignment horizontal="center" vertical="center" wrapText="1"/>
    </xf>
    <xf numFmtId="0" fontId="62" fillId="7" borderId="48" xfId="0" applyFont="1" applyFill="1" applyBorder="1" applyAlignment="1">
      <alignment vertical="center"/>
    </xf>
    <xf numFmtId="0" fontId="61" fillId="7" borderId="48" xfId="0" applyFont="1" applyFill="1" applyBorder="1" applyAlignment="1">
      <alignment horizontal="center" vertical="center" wrapText="1"/>
    </xf>
    <xf numFmtId="0" fontId="62" fillId="7" borderId="47" xfId="0" applyFont="1" applyFill="1" applyBorder="1" applyAlignment="1">
      <alignment vertical="center" wrapText="1"/>
    </xf>
    <xf numFmtId="0" fontId="62" fillId="7" borderId="48" xfId="0" applyFont="1" applyFill="1" applyBorder="1" applyAlignment="1">
      <alignment vertical="center" wrapText="1"/>
    </xf>
    <xf numFmtId="0" fontId="56" fillId="0" borderId="0" xfId="0" applyFont="1" applyAlignment="1">
      <alignment horizontal="center" vertical="center" wrapText="1"/>
    </xf>
    <xf numFmtId="0" fontId="57" fillId="0" borderId="47" xfId="0" applyFont="1" applyBorder="1" applyAlignment="1">
      <alignment horizontal="center" vertical="center" wrapText="1"/>
    </xf>
    <xf numFmtId="0" fontId="56" fillId="0" borderId="47" xfId="0" applyFont="1" applyBorder="1" applyAlignment="1">
      <alignment vertical="center" wrapText="1"/>
    </xf>
    <xf numFmtId="0" fontId="57" fillId="0" borderId="47" xfId="0" applyFont="1" applyBorder="1" applyAlignment="1">
      <alignment horizontal="center" vertical="center"/>
    </xf>
    <xf numFmtId="0" fontId="56" fillId="0" borderId="47" xfId="0" applyFont="1" applyBorder="1" applyAlignment="1">
      <alignment horizontal="center" vertical="center" wrapText="1"/>
    </xf>
    <xf numFmtId="0" fontId="56" fillId="0" borderId="47" xfId="0" applyFont="1" applyBorder="1" applyAlignment="1">
      <alignment vertical="center"/>
    </xf>
    <xf numFmtId="0" fontId="56" fillId="0" borderId="48" xfId="0" applyFont="1" applyBorder="1" applyAlignment="1">
      <alignment horizontal="center" vertical="center" wrapText="1"/>
    </xf>
    <xf numFmtId="0" fontId="56" fillId="0" borderId="48" xfId="0" applyFont="1" applyBorder="1" applyAlignment="1">
      <alignment vertical="center"/>
    </xf>
    <xf numFmtId="0" fontId="57" fillId="0" borderId="48" xfId="0" applyFont="1" applyBorder="1" applyAlignment="1">
      <alignment horizontal="center" vertical="center" wrapText="1"/>
    </xf>
    <xf numFmtId="0" fontId="61" fillId="7" borderId="45" xfId="0" applyFont="1" applyFill="1" applyBorder="1" applyAlignment="1">
      <alignment horizontal="center" vertical="center" wrapText="1"/>
    </xf>
    <xf numFmtId="0" fontId="56" fillId="0" borderId="0" xfId="0" applyFont="1" applyAlignment="1">
      <alignment vertical="center" wrapText="1"/>
    </xf>
    <xf numFmtId="0" fontId="56" fillId="0" borderId="47" xfId="0" applyFont="1" applyBorder="1" applyAlignment="1">
      <alignment vertical="top" wrapText="1"/>
    </xf>
    <xf numFmtId="0" fontId="56" fillId="0" borderId="48" xfId="0" applyFont="1" applyBorder="1" applyAlignment="1">
      <alignment vertical="center" wrapText="1"/>
    </xf>
    <xf numFmtId="0" fontId="57" fillId="0" borderId="45" xfId="0" applyFont="1" applyBorder="1" applyAlignment="1">
      <alignment horizontal="center" vertical="center" wrapText="1"/>
    </xf>
    <xf numFmtId="2" fontId="56" fillId="0" borderId="47" xfId="0" applyNumberFormat="1" applyFont="1" applyBorder="1" applyAlignment="1">
      <alignment horizontal="center" vertical="center" wrapText="1"/>
    </xf>
    <xf numFmtId="2" fontId="56" fillId="0" borderId="47" xfId="0" applyNumberFormat="1" applyFont="1" applyBorder="1" applyAlignment="1">
      <alignment vertical="top" wrapText="1"/>
    </xf>
    <xf numFmtId="2" fontId="56" fillId="0" borderId="48" xfId="0" applyNumberFormat="1" applyFont="1" applyBorder="1" applyAlignment="1">
      <alignment horizontal="center" vertical="center" wrapText="1"/>
    </xf>
    <xf numFmtId="2" fontId="62" fillId="7" borderId="47" xfId="0" applyNumberFormat="1" applyFont="1" applyFill="1" applyBorder="1" applyAlignment="1">
      <alignment horizontal="center" vertical="center" wrapText="1"/>
    </xf>
    <xf numFmtId="2" fontId="62" fillId="7" borderId="48" xfId="0" applyNumberFormat="1" applyFont="1" applyFill="1" applyBorder="1" applyAlignment="1">
      <alignment horizontal="center" vertical="center" wrapText="1"/>
    </xf>
    <xf numFmtId="2" fontId="56" fillId="0" borderId="47" xfId="0" applyNumberFormat="1" applyFont="1" applyBorder="1" applyAlignment="1">
      <alignment vertical="center" wrapText="1"/>
    </xf>
    <xf numFmtId="2" fontId="62" fillId="7" borderId="34" xfId="0" applyNumberFormat="1" applyFont="1" applyFill="1" applyBorder="1" applyAlignment="1">
      <alignment horizontal="center" vertical="center" wrapText="1"/>
    </xf>
    <xf numFmtId="2" fontId="62" fillId="7" borderId="34" xfId="0" applyNumberFormat="1" applyFont="1" applyFill="1" applyBorder="1" applyAlignment="1">
      <alignment vertical="top" wrapText="1"/>
    </xf>
    <xf numFmtId="2" fontId="62" fillId="7" borderId="44" xfId="0" applyNumberFormat="1" applyFont="1" applyFill="1" applyBorder="1" applyAlignment="1">
      <alignment horizontal="center" vertical="center" wrapText="1"/>
    </xf>
    <xf numFmtId="2" fontId="62" fillId="7" borderId="47" xfId="0" applyNumberFormat="1" applyFont="1" applyFill="1" applyBorder="1" applyAlignment="1">
      <alignment vertical="top" wrapText="1"/>
    </xf>
    <xf numFmtId="0" fontId="56" fillId="0" borderId="48" xfId="0" applyFont="1" applyBorder="1" applyAlignment="1">
      <alignment vertical="top" wrapText="1"/>
    </xf>
    <xf numFmtId="0" fontId="62" fillId="7" borderId="48" xfId="0" applyFont="1" applyFill="1" applyBorder="1" applyAlignment="1">
      <alignment vertical="top" wrapText="1"/>
    </xf>
    <xf numFmtId="0" fontId="56" fillId="7" borderId="48" xfId="0" applyFont="1" applyFill="1" applyBorder="1"/>
    <xf numFmtId="0" fontId="60" fillId="0" borderId="0" xfId="0" applyFont="1" applyAlignment="1">
      <alignment vertical="center"/>
    </xf>
    <xf numFmtId="0" fontId="58" fillId="0" borderId="47" xfId="0" applyFont="1" applyBorder="1" applyAlignment="1">
      <alignment vertical="center" wrapText="1"/>
    </xf>
    <xf numFmtId="0" fontId="62" fillId="7" borderId="47" xfId="0" applyFont="1" applyFill="1" applyBorder="1" applyAlignment="1">
      <alignment horizontal="center" vertical="center"/>
    </xf>
    <xf numFmtId="2" fontId="62" fillId="7" borderId="47" xfId="0" applyNumberFormat="1" applyFont="1" applyFill="1" applyBorder="1" applyAlignment="1">
      <alignment horizontal="center" vertical="center"/>
    </xf>
    <xf numFmtId="0" fontId="62" fillId="7" borderId="48" xfId="0" applyFont="1" applyFill="1" applyBorder="1" applyAlignment="1">
      <alignment horizontal="center" vertical="center"/>
    </xf>
    <xf numFmtId="2" fontId="62" fillId="7" borderId="48" xfId="0" applyNumberFormat="1" applyFont="1" applyFill="1" applyBorder="1" applyAlignment="1">
      <alignment horizontal="center" vertical="center"/>
    </xf>
    <xf numFmtId="0" fontId="61" fillId="7" borderId="45" xfId="0" applyFont="1" applyFill="1" applyBorder="1" applyAlignment="1">
      <alignment horizontal="center" vertical="center"/>
    </xf>
    <xf numFmtId="0" fontId="14" fillId="0" borderId="0" xfId="0" applyFont="1" applyAlignment="1">
      <alignment horizontal="right" vertical="top"/>
    </xf>
    <xf numFmtId="1" fontId="5" fillId="0" borderId="0" xfId="0" applyNumberFormat="1" applyFont="1" applyAlignment="1">
      <alignment horizontal="center" vertical="center" wrapText="1"/>
    </xf>
    <xf numFmtId="1" fontId="5" fillId="0" borderId="19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47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top" wrapText="1"/>
    </xf>
    <xf numFmtId="49" fontId="27" fillId="0" borderId="1" xfId="0" applyNumberFormat="1" applyFont="1" applyBorder="1" applyAlignment="1">
      <alignment horizontal="center" vertical="top" wrapText="1"/>
    </xf>
    <xf numFmtId="49" fontId="27" fillId="3" borderId="1" xfId="0" applyNumberFormat="1" applyFont="1" applyFill="1" applyBorder="1" applyAlignment="1">
      <alignment horizontal="center" vertical="top" wrapText="1"/>
    </xf>
    <xf numFmtId="0" fontId="56" fillId="8" borderId="47" xfId="0" applyFont="1" applyFill="1" applyBorder="1" applyAlignment="1">
      <alignment horizontal="center" vertical="center" wrapText="1"/>
    </xf>
    <xf numFmtId="0" fontId="56" fillId="8" borderId="47" xfId="0" applyFont="1" applyFill="1" applyBorder="1" applyAlignment="1">
      <alignment vertical="center" wrapText="1"/>
    </xf>
    <xf numFmtId="2" fontId="56" fillId="8" borderId="47" xfId="0" applyNumberFormat="1" applyFont="1" applyFill="1" applyBorder="1" applyAlignment="1">
      <alignment horizontal="center" vertical="center" wrapText="1"/>
    </xf>
    <xf numFmtId="2" fontId="56" fillId="8" borderId="47" xfId="0" applyNumberFormat="1" applyFont="1" applyFill="1" applyBorder="1" applyAlignment="1">
      <alignment vertical="top" wrapText="1"/>
    </xf>
    <xf numFmtId="0" fontId="56" fillId="8" borderId="47" xfId="0" applyFont="1" applyFill="1" applyBorder="1" applyAlignment="1">
      <alignment vertical="top" wrapText="1"/>
    </xf>
    <xf numFmtId="0" fontId="1" fillId="0" borderId="0" xfId="0" applyFont="1" applyAlignment="1">
      <alignment vertical="center"/>
    </xf>
    <xf numFmtId="0" fontId="66" fillId="0" borderId="0" xfId="6" applyFont="1" applyAlignment="1">
      <alignment vertical="center"/>
    </xf>
    <xf numFmtId="1" fontId="66" fillId="0" borderId="0" xfId="6" applyNumberFormat="1" applyFont="1" applyAlignment="1">
      <alignment horizontal="center" vertical="center"/>
    </xf>
    <xf numFmtId="49" fontId="66" fillId="0" borderId="0" xfId="6" applyNumberFormat="1" applyFont="1" applyAlignment="1">
      <alignment horizontal="center" vertical="center"/>
    </xf>
    <xf numFmtId="1" fontId="66" fillId="0" borderId="0" xfId="6" applyNumberFormat="1" applyFont="1" applyAlignment="1">
      <alignment horizontal="justify" vertical="center" wrapText="1"/>
    </xf>
    <xf numFmtId="1" fontId="66" fillId="0" borderId="0" xfId="6" applyNumberFormat="1" applyFont="1" applyAlignment="1">
      <alignment horizontal="center" vertical="center" wrapText="1"/>
    </xf>
    <xf numFmtId="0" fontId="67" fillId="0" borderId="0" xfId="6" applyFont="1" applyAlignment="1">
      <alignment horizontal="center" vertical="center" wrapText="1"/>
    </xf>
    <xf numFmtId="0" fontId="67" fillId="0" borderId="50" xfId="6" applyFont="1" applyBorder="1" applyAlignment="1">
      <alignment horizontal="center" vertical="center"/>
    </xf>
    <xf numFmtId="1" fontId="67" fillId="0" borderId="50" xfId="6" applyNumberFormat="1" applyFont="1" applyBorder="1" applyAlignment="1">
      <alignment horizontal="center" vertical="center"/>
    </xf>
    <xf numFmtId="1" fontId="66" fillId="8" borderId="55" xfId="6" applyNumberFormat="1" applyFont="1" applyFill="1" applyBorder="1" applyAlignment="1">
      <alignment horizontal="center" vertical="center"/>
    </xf>
    <xf numFmtId="49" fontId="67" fillId="8" borderId="56" xfId="6" applyNumberFormat="1" applyFont="1" applyFill="1" applyBorder="1" applyAlignment="1">
      <alignment horizontal="center" vertical="center" wrapText="1"/>
    </xf>
    <xf numFmtId="1" fontId="67" fillId="8" borderId="56" xfId="6" applyNumberFormat="1" applyFont="1" applyFill="1" applyBorder="1" applyAlignment="1">
      <alignment horizontal="center" vertical="center" wrapText="1"/>
    </xf>
    <xf numFmtId="1" fontId="67" fillId="8" borderId="57" xfId="6" applyNumberFormat="1" applyFont="1" applyFill="1" applyBorder="1" applyAlignment="1">
      <alignment horizontal="center" vertical="center" wrapText="1"/>
    </xf>
    <xf numFmtId="1" fontId="68" fillId="0" borderId="58" xfId="6" applyNumberFormat="1" applyFont="1" applyBorder="1" applyAlignment="1">
      <alignment horizontal="center" vertical="center"/>
    </xf>
    <xf numFmtId="49" fontId="68" fillId="0" borderId="59" xfId="6" applyNumberFormat="1" applyFont="1" applyBorder="1" applyAlignment="1">
      <alignment horizontal="center" vertical="center" wrapText="1"/>
    </xf>
    <xf numFmtId="4" fontId="68" fillId="0" borderId="59" xfId="6" applyNumberFormat="1" applyFont="1" applyBorder="1" applyAlignment="1">
      <alignment horizontal="left" vertical="center"/>
    </xf>
    <xf numFmtId="2" fontId="68" fillId="0" borderId="60" xfId="6" applyNumberFormat="1" applyFont="1" applyBorder="1" applyAlignment="1">
      <alignment horizontal="center" vertical="center"/>
    </xf>
    <xf numFmtId="1" fontId="56" fillId="0" borderId="58" xfId="6" applyNumberFormat="1" applyFont="1" applyBorder="1" applyAlignment="1">
      <alignment horizontal="center" vertical="center"/>
    </xf>
    <xf numFmtId="49" fontId="56" fillId="0" borderId="59" xfId="6" applyNumberFormat="1" applyFont="1" applyBorder="1" applyAlignment="1">
      <alignment horizontal="center" vertical="center" wrapText="1"/>
    </xf>
    <xf numFmtId="4" fontId="56" fillId="0" borderId="59" xfId="6" applyNumberFormat="1" applyFont="1" applyBorder="1" applyAlignment="1">
      <alignment horizontal="left" vertical="center"/>
    </xf>
    <xf numFmtId="2" fontId="56" fillId="0" borderId="60" xfId="6" applyNumberFormat="1" applyFont="1" applyBorder="1" applyAlignment="1">
      <alignment horizontal="center" vertical="center"/>
    </xf>
    <xf numFmtId="166" fontId="68" fillId="0" borderId="58" xfId="2" applyNumberFormat="1" applyFont="1" applyBorder="1" applyAlignment="1">
      <alignment horizontal="center" vertical="center"/>
    </xf>
    <xf numFmtId="166" fontId="68" fillId="0" borderId="59" xfId="2" applyNumberFormat="1" applyFont="1" applyBorder="1" applyAlignment="1">
      <alignment horizontal="center" vertical="center"/>
    </xf>
    <xf numFmtId="0" fontId="68" fillId="0" borderId="59" xfId="2" applyFont="1" applyBorder="1" applyAlignment="1">
      <alignment horizontal="justify" vertical="center"/>
    </xf>
    <xf numFmtId="166" fontId="68" fillId="0" borderId="58" xfId="3" applyNumberFormat="1" applyFont="1" applyBorder="1" applyAlignment="1">
      <alignment horizontal="center" vertical="center"/>
    </xf>
    <xf numFmtId="166" fontId="68" fillId="0" borderId="59" xfId="3" applyNumberFormat="1" applyFont="1" applyBorder="1" applyAlignment="1">
      <alignment horizontal="center" vertical="center"/>
    </xf>
    <xf numFmtId="0" fontId="68" fillId="0" borderId="59" xfId="0" applyFont="1" applyBorder="1" applyAlignment="1">
      <alignment horizontal="justify" vertical="center" wrapText="1"/>
    </xf>
    <xf numFmtId="4" fontId="68" fillId="0" borderId="59" xfId="6" applyNumberFormat="1" applyFont="1" applyBorder="1" applyAlignment="1">
      <alignment horizontal="justify" vertical="center" wrapText="1"/>
    </xf>
    <xf numFmtId="4" fontId="68" fillId="0" borderId="59" xfId="6" applyNumberFormat="1" applyFont="1" applyBorder="1" applyAlignment="1">
      <alignment horizontal="left" vertical="center" wrapText="1"/>
    </xf>
    <xf numFmtId="2" fontId="68" fillId="0" borderId="60" xfId="6" applyNumberFormat="1" applyFont="1" applyBorder="1" applyAlignment="1">
      <alignment horizontal="center" vertical="center" wrapText="1"/>
    </xf>
    <xf numFmtId="0" fontId="68" fillId="7" borderId="47" xfId="0" applyFont="1" applyFill="1" applyBorder="1" applyAlignment="1">
      <alignment vertical="center" wrapText="1"/>
    </xf>
    <xf numFmtId="2" fontId="68" fillId="7" borderId="47" xfId="0" applyNumberFormat="1" applyFont="1" applyFill="1" applyBorder="1" applyAlignment="1">
      <alignment horizontal="center" vertical="center" wrapText="1"/>
    </xf>
    <xf numFmtId="4" fontId="68" fillId="0" borderId="59" xfId="6" applyNumberFormat="1" applyFont="1" applyBorder="1" applyAlignment="1">
      <alignment horizontal="justify" vertical="center"/>
    </xf>
    <xf numFmtId="4" fontId="56" fillId="0" borderId="59" xfId="6" applyNumberFormat="1" applyFont="1" applyBorder="1" applyAlignment="1">
      <alignment horizontal="justify" vertical="center"/>
    </xf>
    <xf numFmtId="2" fontId="68" fillId="0" borderId="61" xfId="6" applyNumberFormat="1" applyFont="1" applyBorder="1" applyAlignment="1">
      <alignment horizontal="center" vertical="center"/>
    </xf>
    <xf numFmtId="166" fontId="68" fillId="8" borderId="58" xfId="3" applyNumberFormat="1" applyFont="1" applyFill="1" applyBorder="1" applyAlignment="1">
      <alignment horizontal="center" vertical="center"/>
    </xf>
    <xf numFmtId="166" fontId="68" fillId="8" borderId="59" xfId="3" applyNumberFormat="1" applyFont="1" applyFill="1" applyBorder="1" applyAlignment="1">
      <alignment horizontal="center" vertical="center"/>
    </xf>
    <xf numFmtId="0" fontId="68" fillId="8" borderId="59" xfId="0" applyFont="1" applyFill="1" applyBorder="1" applyAlignment="1">
      <alignment horizontal="justify" vertical="center" wrapText="1"/>
    </xf>
    <xf numFmtId="1" fontId="68" fillId="8" borderId="58" xfId="6" applyNumberFormat="1" applyFont="1" applyFill="1" applyBorder="1" applyAlignment="1">
      <alignment horizontal="center" vertical="center"/>
    </xf>
    <xf numFmtId="49" fontId="69" fillId="8" borderId="59" xfId="6" applyNumberFormat="1" applyFont="1" applyFill="1" applyBorder="1" applyAlignment="1">
      <alignment horizontal="center" vertical="center" wrapText="1"/>
    </xf>
    <xf numFmtId="1" fontId="69" fillId="8" borderId="59" xfId="6" applyNumberFormat="1" applyFont="1" applyFill="1" applyBorder="1" applyAlignment="1">
      <alignment horizontal="center" vertical="center" wrapText="1"/>
    </xf>
    <xf numFmtId="1" fontId="69" fillId="8" borderId="60" xfId="6" applyNumberFormat="1" applyFont="1" applyFill="1" applyBorder="1" applyAlignment="1">
      <alignment horizontal="center" vertical="center" wrapText="1"/>
    </xf>
    <xf numFmtId="1" fontId="68" fillId="0" borderId="58" xfId="0" applyNumberFormat="1" applyFont="1" applyBorder="1" applyAlignment="1">
      <alignment horizontal="center" vertical="center"/>
    </xf>
    <xf numFmtId="164" fontId="68" fillId="0" borderId="59" xfId="3" applyFont="1" applyBorder="1" applyAlignment="1">
      <alignment horizontal="justify" vertical="center" wrapText="1"/>
    </xf>
    <xf numFmtId="2" fontId="70" fillId="0" borderId="60" xfId="3" applyNumberFormat="1" applyFont="1" applyBorder="1" applyAlignment="1">
      <alignment horizontal="center" vertical="center" wrapText="1"/>
    </xf>
    <xf numFmtId="2" fontId="68" fillId="0" borderId="60" xfId="3" applyNumberFormat="1" applyFont="1" applyBorder="1" applyAlignment="1">
      <alignment horizontal="center" vertical="center" wrapText="1"/>
    </xf>
    <xf numFmtId="1" fontId="68" fillId="0" borderId="58" xfId="3" applyNumberFormat="1" applyFont="1" applyBorder="1" applyAlignment="1">
      <alignment horizontal="center" vertical="center"/>
    </xf>
    <xf numFmtId="1" fontId="68" fillId="0" borderId="59" xfId="3" applyNumberFormat="1" applyFont="1" applyBorder="1" applyAlignment="1">
      <alignment horizontal="center" vertical="center"/>
    </xf>
    <xf numFmtId="1" fontId="68" fillId="0" borderId="58" xfId="2" applyNumberFormat="1" applyFont="1" applyBorder="1" applyAlignment="1">
      <alignment horizontal="center" vertical="center"/>
    </xf>
    <xf numFmtId="1" fontId="68" fillId="0" borderId="59" xfId="2" applyNumberFormat="1" applyFont="1" applyBorder="1" applyAlignment="1">
      <alignment horizontal="center" vertical="center"/>
    </xf>
    <xf numFmtId="164" fontId="56" fillId="0" borderId="59" xfId="3" applyFont="1" applyBorder="1" applyAlignment="1">
      <alignment horizontal="justify" vertical="center" wrapText="1"/>
    </xf>
    <xf numFmtId="1" fontId="66" fillId="0" borderId="58" xfId="6" applyNumberFormat="1" applyFont="1" applyBorder="1" applyAlignment="1">
      <alignment horizontal="center" vertical="center"/>
    </xf>
    <xf numFmtId="49" fontId="66" fillId="0" borderId="59" xfId="6" applyNumberFormat="1" applyFont="1" applyBorder="1" applyAlignment="1">
      <alignment horizontal="center" vertical="center" wrapText="1"/>
    </xf>
    <xf numFmtId="164" fontId="66" fillId="0" borderId="59" xfId="3" applyFont="1" applyBorder="1" applyAlignment="1">
      <alignment horizontal="justify" vertical="center" wrapText="1"/>
    </xf>
    <xf numFmtId="2" fontId="66" fillId="0" borderId="60" xfId="3" applyNumberFormat="1" applyFont="1" applyBorder="1" applyAlignment="1">
      <alignment horizontal="center" vertical="center" wrapText="1"/>
    </xf>
    <xf numFmtId="49" fontId="68" fillId="8" borderId="59" xfId="6" applyNumberFormat="1" applyFont="1" applyFill="1" applyBorder="1" applyAlignment="1">
      <alignment horizontal="center" vertical="center" wrapText="1"/>
    </xf>
    <xf numFmtId="164" fontId="69" fillId="8" borderId="59" xfId="3" applyFont="1" applyFill="1" applyBorder="1" applyAlignment="1">
      <alignment horizontal="center" vertical="center" wrapText="1"/>
    </xf>
    <xf numFmtId="164" fontId="69" fillId="8" borderId="60" xfId="3" applyFont="1" applyFill="1" applyBorder="1" applyAlignment="1">
      <alignment horizontal="center" vertical="center" wrapText="1"/>
    </xf>
    <xf numFmtId="0" fontId="68" fillId="0" borderId="58" xfId="0" applyFont="1" applyBorder="1" applyAlignment="1">
      <alignment horizontal="center" vertical="center"/>
    </xf>
    <xf numFmtId="2" fontId="68" fillId="0" borderId="62" xfId="6" applyNumberFormat="1" applyFont="1" applyBorder="1" applyAlignment="1">
      <alignment horizontal="center" vertical="center"/>
    </xf>
    <xf numFmtId="0" fontId="68" fillId="0" borderId="58" xfId="2" applyFont="1" applyBorder="1" applyAlignment="1">
      <alignment horizontal="center" vertical="center"/>
    </xf>
    <xf numFmtId="2" fontId="68" fillId="9" borderId="60" xfId="0" applyNumberFormat="1" applyFont="1" applyFill="1" applyBorder="1" applyAlignment="1">
      <alignment horizontal="center" vertical="center"/>
    </xf>
    <xf numFmtId="1" fontId="68" fillId="8" borderId="58" xfId="3" applyNumberFormat="1" applyFont="1" applyFill="1" applyBorder="1" applyAlignment="1">
      <alignment horizontal="center" vertical="center" wrapText="1"/>
    </xf>
    <xf numFmtId="1" fontId="68" fillId="8" borderId="59" xfId="3" applyNumberFormat="1" applyFont="1" applyFill="1" applyBorder="1" applyAlignment="1">
      <alignment horizontal="center" vertical="center" wrapText="1"/>
    </xf>
    <xf numFmtId="0" fontId="68" fillId="9" borderId="60" xfId="0" applyFont="1" applyFill="1" applyBorder="1" applyAlignment="1">
      <alignment horizontal="center" vertical="center"/>
    </xf>
    <xf numFmtId="1" fontId="68" fillId="0" borderId="58" xfId="3" applyNumberFormat="1" applyFont="1" applyBorder="1" applyAlignment="1">
      <alignment horizontal="center" vertical="center" wrapText="1"/>
    </xf>
    <xf numFmtId="1" fontId="68" fillId="0" borderId="59" xfId="3" applyNumberFormat="1" applyFont="1" applyBorder="1" applyAlignment="1">
      <alignment horizontal="center" vertical="center" wrapText="1"/>
    </xf>
    <xf numFmtId="0" fontId="71" fillId="0" borderId="0" xfId="0" applyFont="1" applyAlignment="1">
      <alignment vertical="center"/>
    </xf>
    <xf numFmtId="164" fontId="69" fillId="0" borderId="59" xfId="3" applyFont="1" applyBorder="1" applyAlignment="1">
      <alignment horizontal="center" vertical="center" wrapText="1"/>
    </xf>
    <xf numFmtId="0" fontId="68" fillId="0" borderId="59" xfId="6" applyFont="1" applyBorder="1" applyAlignment="1">
      <alignment horizontal="justify" vertical="center" wrapText="1"/>
    </xf>
    <xf numFmtId="0" fontId="69" fillId="0" borderId="59" xfId="0" applyFont="1" applyBorder="1" applyAlignment="1">
      <alignment horizontal="center" vertical="center" wrapText="1"/>
    </xf>
    <xf numFmtId="2" fontId="68" fillId="8" borderId="60" xfId="3" applyNumberFormat="1" applyFont="1" applyFill="1" applyBorder="1" applyAlignment="1">
      <alignment horizontal="center" vertical="center" wrapText="1"/>
    </xf>
    <xf numFmtId="0" fontId="68" fillId="0" borderId="58" xfId="0" applyFont="1" applyBorder="1" applyAlignment="1">
      <alignment horizontal="center" vertical="center" wrapText="1"/>
    </xf>
    <xf numFmtId="49" fontId="69" fillId="0" borderId="59" xfId="6" applyNumberFormat="1" applyFont="1" applyBorder="1" applyAlignment="1">
      <alignment horizontal="center" vertical="center" wrapText="1"/>
    </xf>
    <xf numFmtId="1" fontId="69" fillId="0" borderId="59" xfId="6" applyNumberFormat="1" applyFont="1" applyBorder="1" applyAlignment="1">
      <alignment horizontal="center" vertical="center" wrapText="1"/>
    </xf>
    <xf numFmtId="1" fontId="68" fillId="0" borderId="59" xfId="6" applyNumberFormat="1" applyFont="1" applyBorder="1" applyAlignment="1">
      <alignment horizontal="left" vertical="center" wrapText="1"/>
    </xf>
    <xf numFmtId="0" fontId="71" fillId="0" borderId="0" xfId="6" applyFont="1" applyAlignment="1">
      <alignment vertical="center"/>
    </xf>
    <xf numFmtId="2" fontId="56" fillId="0" borderId="60" xfId="3" applyNumberFormat="1" applyFont="1" applyBorder="1" applyAlignment="1">
      <alignment horizontal="center" vertical="center" wrapText="1"/>
    </xf>
    <xf numFmtId="1" fontId="68" fillId="8" borderId="58" xfId="3" applyNumberFormat="1" applyFont="1" applyFill="1" applyBorder="1" applyAlignment="1">
      <alignment horizontal="center" vertical="center"/>
    </xf>
    <xf numFmtId="1" fontId="68" fillId="8" borderId="59" xfId="3" applyNumberFormat="1" applyFont="1" applyFill="1" applyBorder="1" applyAlignment="1">
      <alignment horizontal="center" vertical="center"/>
    </xf>
    <xf numFmtId="164" fontId="68" fillId="8" borderId="59" xfId="3" applyFont="1" applyFill="1" applyBorder="1" applyAlignment="1">
      <alignment horizontal="justify" vertical="center" wrapText="1"/>
    </xf>
    <xf numFmtId="1" fontId="56" fillId="0" borderId="58" xfId="3" applyNumberFormat="1" applyFont="1" applyBorder="1" applyAlignment="1">
      <alignment horizontal="center" vertical="center"/>
    </xf>
    <xf numFmtId="1" fontId="56" fillId="0" borderId="59" xfId="3" applyNumberFormat="1" applyFont="1" applyBorder="1" applyAlignment="1">
      <alignment horizontal="center" vertical="center"/>
    </xf>
    <xf numFmtId="2" fontId="68" fillId="0" borderId="60" xfId="0" applyNumberFormat="1" applyFont="1" applyBorder="1" applyAlignment="1">
      <alignment horizontal="center" vertical="center"/>
    </xf>
    <xf numFmtId="164" fontId="72" fillId="0" borderId="59" xfId="3" applyFont="1" applyBorder="1" applyAlignment="1">
      <alignment horizontal="justify" vertical="center" wrapText="1"/>
    </xf>
    <xf numFmtId="1" fontId="69" fillId="0" borderId="60" xfId="6" applyNumberFormat="1" applyFont="1" applyBorder="1" applyAlignment="1">
      <alignment horizontal="center" vertical="center" wrapText="1"/>
    </xf>
    <xf numFmtId="2" fontId="68" fillId="0" borderId="59" xfId="6" applyNumberFormat="1" applyFont="1" applyBorder="1" applyAlignment="1">
      <alignment horizontal="center" vertical="center" wrapText="1"/>
    </xf>
    <xf numFmtId="1" fontId="68" fillId="8" borderId="58" xfId="0" applyNumberFormat="1" applyFont="1" applyFill="1" applyBorder="1" applyAlignment="1">
      <alignment horizontal="center" vertical="center"/>
    </xf>
    <xf numFmtId="2" fontId="68" fillId="0" borderId="59" xfId="3" applyNumberFormat="1" applyFont="1" applyBorder="1" applyAlignment="1">
      <alignment horizontal="center" vertical="center"/>
    </xf>
    <xf numFmtId="1" fontId="68" fillId="0" borderId="63" xfId="6" applyNumberFormat="1" applyFont="1" applyBorder="1" applyAlignment="1">
      <alignment horizontal="center" vertical="center"/>
    </xf>
    <xf numFmtId="2" fontId="68" fillId="0" borderId="64" xfId="6" applyNumberFormat="1" applyFont="1" applyBorder="1" applyAlignment="1">
      <alignment horizontal="center" vertical="center" wrapText="1"/>
    </xf>
    <xf numFmtId="164" fontId="68" fillId="0" borderId="64" xfId="3" applyFont="1" applyBorder="1" applyAlignment="1">
      <alignment horizontal="justify" vertical="center" wrapText="1"/>
    </xf>
    <xf numFmtId="2" fontId="68" fillId="0" borderId="65" xfId="3" applyNumberFormat="1" applyFont="1" applyBorder="1" applyAlignment="1">
      <alignment horizontal="center" vertical="center" wrapText="1"/>
    </xf>
    <xf numFmtId="1" fontId="68" fillId="0" borderId="0" xfId="6" applyNumberFormat="1" applyFont="1" applyAlignment="1">
      <alignment horizontal="center" vertical="center"/>
    </xf>
    <xf numFmtId="49" fontId="68" fillId="0" borderId="0" xfId="6" applyNumberFormat="1" applyFont="1" applyAlignment="1">
      <alignment horizontal="center" vertical="center"/>
    </xf>
    <xf numFmtId="1" fontId="68" fillId="0" borderId="0" xfId="6" applyNumberFormat="1" applyFont="1" applyAlignment="1">
      <alignment horizontal="justify" vertical="center" wrapText="1"/>
    </xf>
    <xf numFmtId="0" fontId="68" fillId="0" borderId="0" xfId="6" applyFont="1" applyAlignment="1">
      <alignment horizontal="center" vertical="center"/>
    </xf>
    <xf numFmtId="1" fontId="66" fillId="0" borderId="0" xfId="6" applyNumberFormat="1" applyFont="1" applyAlignment="1">
      <alignment horizontal="justify" vertical="center"/>
    </xf>
    <xf numFmtId="1" fontId="73" fillId="0" borderId="54" xfId="0" applyNumberFormat="1" applyFont="1" applyBorder="1" applyAlignment="1">
      <alignment horizontal="center" vertical="center"/>
    </xf>
    <xf numFmtId="1" fontId="74" fillId="0" borderId="71" xfId="3" applyNumberFormat="1" applyFont="1" applyBorder="1" applyAlignment="1">
      <alignment horizontal="center" vertical="center"/>
    </xf>
    <xf numFmtId="1" fontId="74" fillId="0" borderId="72" xfId="3" applyNumberFormat="1" applyFont="1" applyBorder="1" applyAlignment="1">
      <alignment horizontal="center" vertical="center"/>
    </xf>
    <xf numFmtId="1" fontId="74" fillId="0" borderId="73" xfId="3" applyNumberFormat="1" applyFont="1" applyBorder="1" applyAlignment="1">
      <alignment horizontal="center" vertical="center"/>
    </xf>
    <xf numFmtId="164" fontId="75" fillId="0" borderId="59" xfId="3" applyFont="1" applyBorder="1" applyAlignment="1">
      <alignment horizontal="center" vertical="center"/>
    </xf>
    <xf numFmtId="164" fontId="76" fillId="0" borderId="60" xfId="3" applyFont="1" applyBorder="1" applyAlignment="1">
      <alignment horizontal="center" vertical="center" wrapText="1"/>
    </xf>
    <xf numFmtId="1" fontId="74" fillId="0" borderId="74" xfId="3" applyNumberFormat="1" applyFont="1" applyBorder="1" applyAlignment="1">
      <alignment horizontal="center" vertical="center" wrapText="1"/>
    </xf>
    <xf numFmtId="1" fontId="74" fillId="0" borderId="75" xfId="3" applyNumberFormat="1" applyFont="1" applyBorder="1" applyAlignment="1">
      <alignment horizontal="center" vertical="center" wrapText="1"/>
    </xf>
    <xf numFmtId="1" fontId="74" fillId="0" borderId="76" xfId="3" applyNumberFormat="1" applyFont="1" applyBorder="1" applyAlignment="1">
      <alignment horizontal="center" vertical="center" wrapText="1"/>
    </xf>
    <xf numFmtId="0" fontId="74" fillId="0" borderId="59" xfId="0" applyFont="1" applyBorder="1" applyAlignment="1">
      <alignment horizontal="justify" vertical="center"/>
    </xf>
    <xf numFmtId="2" fontId="74" fillId="0" borderId="60" xfId="0" applyNumberFormat="1" applyFont="1" applyBorder="1" applyAlignment="1">
      <alignment horizontal="center" vertical="center"/>
    </xf>
    <xf numFmtId="0" fontId="64" fillId="0" borderId="0" xfId="0" applyFont="1" applyAlignment="1">
      <alignment vertical="center"/>
    </xf>
    <xf numFmtId="1" fontId="74" fillId="8" borderId="74" xfId="3" applyNumberFormat="1" applyFont="1" applyFill="1" applyBorder="1" applyAlignment="1">
      <alignment horizontal="center" vertical="center"/>
    </xf>
    <xf numFmtId="1" fontId="74" fillId="8" borderId="75" xfId="3" applyNumberFormat="1" applyFont="1" applyFill="1" applyBorder="1" applyAlignment="1">
      <alignment horizontal="center" vertical="center"/>
    </xf>
    <xf numFmtId="1" fontId="74" fillId="8" borderId="76" xfId="3" applyNumberFormat="1" applyFont="1" applyFill="1" applyBorder="1" applyAlignment="1">
      <alignment horizontal="center" vertical="center"/>
    </xf>
    <xf numFmtId="164" fontId="76" fillId="8" borderId="59" xfId="3" applyFont="1" applyFill="1" applyBorder="1" applyAlignment="1">
      <alignment horizontal="center" vertical="center"/>
    </xf>
    <xf numFmtId="164" fontId="76" fillId="8" borderId="60" xfId="3" applyFont="1" applyFill="1" applyBorder="1" applyAlignment="1">
      <alignment horizontal="center" vertical="center" wrapText="1"/>
    </xf>
    <xf numFmtId="1" fontId="74" fillId="8" borderId="74" xfId="3" applyNumberFormat="1" applyFont="1" applyFill="1" applyBorder="1" applyAlignment="1">
      <alignment horizontal="center" vertical="center" wrapText="1"/>
    </xf>
    <xf numFmtId="1" fontId="74" fillId="8" borderId="75" xfId="3" applyNumberFormat="1" applyFont="1" applyFill="1" applyBorder="1" applyAlignment="1">
      <alignment horizontal="center" vertical="center" wrapText="1"/>
    </xf>
    <xf numFmtId="1" fontId="74" fillId="8" borderId="76" xfId="3" applyNumberFormat="1" applyFont="1" applyFill="1" applyBorder="1" applyAlignment="1">
      <alignment horizontal="center" vertical="center" wrapText="1"/>
    </xf>
    <xf numFmtId="0" fontId="74" fillId="8" borderId="59" xfId="0" applyFont="1" applyFill="1" applyBorder="1" applyAlignment="1">
      <alignment horizontal="justify" vertical="center"/>
    </xf>
    <xf numFmtId="2" fontId="74" fillId="8" borderId="60" xfId="0" applyNumberFormat="1" applyFont="1" applyFill="1" applyBorder="1" applyAlignment="1">
      <alignment horizontal="center" vertical="center"/>
    </xf>
    <xf numFmtId="0" fontId="74" fillId="8" borderId="77" xfId="0" applyFont="1" applyFill="1" applyBorder="1" applyAlignment="1">
      <alignment horizontal="center" vertical="center" wrapText="1"/>
    </xf>
    <xf numFmtId="0" fontId="74" fillId="8" borderId="78" xfId="0" applyFont="1" applyFill="1" applyBorder="1" applyAlignment="1">
      <alignment horizontal="center" vertical="center" wrapText="1"/>
    </xf>
    <xf numFmtId="0" fontId="74" fillId="8" borderId="79" xfId="0" applyFont="1" applyFill="1" applyBorder="1" applyAlignment="1">
      <alignment horizontal="center" vertical="center" wrapText="1"/>
    </xf>
    <xf numFmtId="0" fontId="74" fillId="8" borderId="47" xfId="0" applyFont="1" applyFill="1" applyBorder="1" applyAlignment="1">
      <alignment vertical="center" wrapText="1"/>
    </xf>
    <xf numFmtId="2" fontId="74" fillId="8" borderId="80" xfId="0" applyNumberFormat="1" applyFont="1" applyFill="1" applyBorder="1" applyAlignment="1">
      <alignment horizontal="center" vertical="center" wrapText="1"/>
    </xf>
    <xf numFmtId="0" fontId="76" fillId="8" borderId="59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4" fontId="74" fillId="8" borderId="59" xfId="3" applyFont="1" applyFill="1" applyBorder="1" applyAlignment="1">
      <alignment horizontal="justify" vertical="center"/>
    </xf>
    <xf numFmtId="0" fontId="74" fillId="8" borderId="60" xfId="0" applyFont="1" applyFill="1" applyBorder="1" applyAlignment="1">
      <alignment horizontal="center" vertical="center"/>
    </xf>
    <xf numFmtId="1" fontId="74" fillId="8" borderId="81" xfId="3" applyNumberFormat="1" applyFont="1" applyFill="1" applyBorder="1" applyAlignment="1">
      <alignment horizontal="center" vertical="center" wrapText="1"/>
    </xf>
    <xf numFmtId="1" fontId="74" fillId="8" borderId="82" xfId="3" applyNumberFormat="1" applyFont="1" applyFill="1" applyBorder="1" applyAlignment="1">
      <alignment horizontal="center" vertical="center" wrapText="1"/>
    </xf>
    <xf numFmtId="164" fontId="76" fillId="8" borderId="83" xfId="3" applyFont="1" applyFill="1" applyBorder="1" applyAlignment="1">
      <alignment horizontal="center" vertical="center"/>
    </xf>
    <xf numFmtId="2" fontId="74" fillId="8" borderId="61" xfId="0" applyNumberFormat="1" applyFont="1" applyFill="1" applyBorder="1" applyAlignment="1">
      <alignment horizontal="center" vertical="center"/>
    </xf>
    <xf numFmtId="0" fontId="74" fillId="8" borderId="84" xfId="0" applyFont="1" applyFill="1" applyBorder="1" applyAlignment="1">
      <alignment horizontal="center" vertical="center" wrapText="1"/>
    </xf>
    <xf numFmtId="0" fontId="74" fillId="8" borderId="85" xfId="0" applyFont="1" applyFill="1" applyBorder="1" applyAlignment="1">
      <alignment horizontal="center" vertical="center" wrapText="1"/>
    </xf>
    <xf numFmtId="0" fontId="74" fillId="8" borderId="86" xfId="0" applyFont="1" applyFill="1" applyBorder="1" applyAlignment="1">
      <alignment vertical="center" wrapText="1"/>
    </xf>
    <xf numFmtId="2" fontId="74" fillId="8" borderId="87" xfId="0" applyNumberFormat="1" applyFont="1" applyFill="1" applyBorder="1" applyAlignment="1">
      <alignment horizontal="center" vertical="center" wrapText="1"/>
    </xf>
    <xf numFmtId="2" fontId="74" fillId="8" borderId="88" xfId="0" applyNumberFormat="1" applyFont="1" applyFill="1" applyBorder="1" applyAlignment="1">
      <alignment horizontal="center" vertical="center" wrapText="1"/>
    </xf>
    <xf numFmtId="0" fontId="74" fillId="8" borderId="89" xfId="0" applyFont="1" applyFill="1" applyBorder="1" applyAlignment="1">
      <alignment horizontal="center" vertical="center" wrapText="1"/>
    </xf>
    <xf numFmtId="0" fontId="74" fillId="8" borderId="90" xfId="0" applyFont="1" applyFill="1" applyBorder="1" applyAlignment="1">
      <alignment horizontal="center" vertical="center" wrapText="1"/>
    </xf>
    <xf numFmtId="0" fontId="74" fillId="8" borderId="91" xfId="0" applyFont="1" applyFill="1" applyBorder="1" applyAlignment="1">
      <alignment vertical="center" wrapText="1"/>
    </xf>
    <xf numFmtId="2" fontId="74" fillId="8" borderId="92" xfId="0" applyNumberFormat="1" applyFont="1" applyFill="1" applyBorder="1" applyAlignment="1">
      <alignment horizontal="center" vertical="center" wrapText="1"/>
    </xf>
    <xf numFmtId="1" fontId="74" fillId="8" borderId="93" xfId="3" applyNumberFormat="1" applyFont="1" applyFill="1" applyBorder="1" applyAlignment="1">
      <alignment horizontal="center" vertical="center" wrapText="1"/>
    </xf>
    <xf numFmtId="1" fontId="74" fillId="8" borderId="94" xfId="3" applyNumberFormat="1" applyFont="1" applyFill="1" applyBorder="1" applyAlignment="1">
      <alignment horizontal="center" vertical="center" wrapText="1"/>
    </xf>
    <xf numFmtId="0" fontId="74" fillId="8" borderId="95" xfId="0" applyFont="1" applyFill="1" applyBorder="1" applyAlignment="1">
      <alignment horizontal="justify" vertical="center"/>
    </xf>
    <xf numFmtId="2" fontId="74" fillId="8" borderId="96" xfId="0" applyNumberFormat="1" applyFont="1" applyFill="1" applyBorder="1" applyAlignment="1">
      <alignment horizontal="center" vertical="center"/>
    </xf>
    <xf numFmtId="164" fontId="75" fillId="8" borderId="59" xfId="3" applyFont="1" applyFill="1" applyBorder="1" applyAlignment="1">
      <alignment horizontal="center" vertical="center"/>
    </xf>
    <xf numFmtId="0" fontId="56" fillId="8" borderId="34" xfId="0" applyFont="1" applyFill="1" applyBorder="1" applyAlignment="1">
      <alignment vertical="center" wrapText="1"/>
    </xf>
    <xf numFmtId="0" fontId="77" fillId="0" borderId="0" xfId="0" applyFont="1" applyAlignment="1">
      <alignment vertical="center"/>
    </xf>
    <xf numFmtId="0" fontId="78" fillId="0" borderId="0" xfId="0" applyFont="1" applyAlignment="1">
      <alignment vertical="center"/>
    </xf>
    <xf numFmtId="0" fontId="74" fillId="8" borderId="97" xfId="0" applyFont="1" applyFill="1" applyBorder="1" applyAlignment="1">
      <alignment horizontal="center" vertical="center" wrapText="1"/>
    </xf>
    <xf numFmtId="0" fontId="74" fillId="8" borderId="98" xfId="0" applyFont="1" applyFill="1" applyBorder="1" applyAlignment="1">
      <alignment horizontal="center" vertical="center" wrapText="1"/>
    </xf>
    <xf numFmtId="0" fontId="74" fillId="8" borderId="99" xfId="0" applyFont="1" applyFill="1" applyBorder="1" applyAlignment="1">
      <alignment vertical="center" wrapText="1"/>
    </xf>
    <xf numFmtId="2" fontId="74" fillId="8" borderId="100" xfId="0" applyNumberFormat="1" applyFont="1" applyFill="1" applyBorder="1" applyAlignment="1">
      <alignment horizontal="center" vertical="center" wrapText="1"/>
    </xf>
    <xf numFmtId="0" fontId="79" fillId="0" borderId="0" xfId="0" applyFont="1" applyAlignment="1">
      <alignment vertical="center"/>
    </xf>
    <xf numFmtId="1" fontId="74" fillId="8" borderId="101" xfId="3" applyNumberFormat="1" applyFont="1" applyFill="1" applyBorder="1" applyAlignment="1">
      <alignment horizontal="center" vertical="center" wrapText="1"/>
    </xf>
    <xf numFmtId="0" fontId="74" fillId="8" borderId="59" xfId="0" applyFont="1" applyFill="1" applyBorder="1" applyAlignment="1">
      <alignment wrapText="1"/>
    </xf>
    <xf numFmtId="49" fontId="74" fillId="8" borderId="59" xfId="0" applyNumberFormat="1" applyFont="1" applyFill="1" applyBorder="1" applyAlignment="1">
      <alignment horizontal="justify" vertical="center"/>
    </xf>
    <xf numFmtId="1" fontId="80" fillId="8" borderId="74" xfId="3" applyNumberFormat="1" applyFont="1" applyFill="1" applyBorder="1" applyAlignment="1">
      <alignment horizontal="center" vertical="center" wrapText="1"/>
    </xf>
    <xf numFmtId="1" fontId="80" fillId="8" borderId="75" xfId="3" applyNumberFormat="1" applyFont="1" applyFill="1" applyBorder="1" applyAlignment="1">
      <alignment horizontal="center" vertical="center" wrapText="1"/>
    </xf>
    <xf numFmtId="0" fontId="80" fillId="8" borderId="59" xfId="0" applyFont="1" applyFill="1" applyBorder="1" applyAlignment="1">
      <alignment horizontal="justify" vertical="center"/>
    </xf>
    <xf numFmtId="2" fontId="80" fillId="8" borderId="60" xfId="0" applyNumberFormat="1" applyFont="1" applyFill="1" applyBorder="1" applyAlignment="1">
      <alignment horizontal="center" vertical="center"/>
    </xf>
    <xf numFmtId="49" fontId="80" fillId="8" borderId="59" xfId="0" applyNumberFormat="1" applyFont="1" applyFill="1" applyBorder="1" applyAlignment="1">
      <alignment horizontal="justify" vertical="center"/>
    </xf>
    <xf numFmtId="0" fontId="74" fillId="8" borderId="102" xfId="0" applyFont="1" applyFill="1" applyBorder="1" applyAlignment="1">
      <alignment horizontal="center" vertical="center" wrapText="1"/>
    </xf>
    <xf numFmtId="0" fontId="74" fillId="8" borderId="103" xfId="0" applyFont="1" applyFill="1" applyBorder="1" applyAlignment="1">
      <alignment horizontal="center" vertical="center" wrapText="1"/>
    </xf>
    <xf numFmtId="0" fontId="74" fillId="8" borderId="104" xfId="0" applyFont="1" applyFill="1" applyBorder="1" applyAlignment="1">
      <alignment vertical="center" wrapText="1"/>
    </xf>
    <xf numFmtId="1" fontId="74" fillId="8" borderId="74" xfId="0" applyNumberFormat="1" applyFont="1" applyFill="1" applyBorder="1" applyAlignment="1">
      <alignment horizontal="center" vertical="center" wrapText="1"/>
    </xf>
    <xf numFmtId="1" fontId="74" fillId="8" borderId="75" xfId="0" applyNumberFormat="1" applyFont="1" applyFill="1" applyBorder="1" applyAlignment="1">
      <alignment horizontal="center" vertical="center" wrapText="1"/>
    </xf>
    <xf numFmtId="1" fontId="74" fillId="8" borderId="76" xfId="0" applyNumberFormat="1" applyFont="1" applyFill="1" applyBorder="1" applyAlignment="1">
      <alignment horizontal="center" vertical="center" wrapText="1"/>
    </xf>
    <xf numFmtId="0" fontId="75" fillId="8" borderId="59" xfId="0" applyFont="1" applyFill="1" applyBorder="1" applyAlignment="1">
      <alignment horizontal="center" vertical="center"/>
    </xf>
    <xf numFmtId="1" fontId="81" fillId="8" borderId="74" xfId="3" applyNumberFormat="1" applyFont="1" applyFill="1" applyBorder="1" applyAlignment="1">
      <alignment horizontal="center" vertical="center" wrapText="1"/>
    </xf>
    <xf numFmtId="1" fontId="81" fillId="8" borderId="75" xfId="3" applyNumberFormat="1" applyFont="1" applyFill="1" applyBorder="1" applyAlignment="1">
      <alignment horizontal="center" vertical="center" wrapText="1"/>
    </xf>
    <xf numFmtId="1" fontId="81" fillId="8" borderId="76" xfId="3" applyNumberFormat="1" applyFont="1" applyFill="1" applyBorder="1" applyAlignment="1">
      <alignment horizontal="center" vertical="center" wrapText="1"/>
    </xf>
    <xf numFmtId="0" fontId="74" fillId="8" borderId="105" xfId="0" applyFont="1" applyFill="1" applyBorder="1" applyAlignment="1">
      <alignment horizontal="justify" vertical="center"/>
    </xf>
    <xf numFmtId="0" fontId="74" fillId="8" borderId="34" xfId="0" applyFont="1" applyFill="1" applyBorder="1" applyAlignment="1">
      <alignment horizontal="justify" vertical="center"/>
    </xf>
    <xf numFmtId="1" fontId="74" fillId="8" borderId="106" xfId="3" applyNumberFormat="1" applyFont="1" applyFill="1" applyBorder="1" applyAlignment="1">
      <alignment horizontal="center" vertical="center" wrapText="1"/>
    </xf>
    <xf numFmtId="1" fontId="74" fillId="8" borderId="107" xfId="3" applyNumberFormat="1" applyFont="1" applyFill="1" applyBorder="1" applyAlignment="1">
      <alignment horizontal="center" vertical="center" wrapText="1"/>
    </xf>
    <xf numFmtId="1" fontId="74" fillId="8" borderId="53" xfId="3" applyNumberFormat="1" applyFont="1" applyFill="1" applyBorder="1" applyAlignment="1">
      <alignment horizontal="center" vertical="center" wrapText="1"/>
    </xf>
    <xf numFmtId="164" fontId="74" fillId="8" borderId="64" xfId="3" applyFont="1" applyFill="1" applyBorder="1" applyAlignment="1">
      <alignment horizontal="justify" vertical="center"/>
    </xf>
    <xf numFmtId="2" fontId="74" fillId="8" borderId="65" xfId="0" applyNumberFormat="1" applyFont="1" applyFill="1" applyBorder="1" applyAlignment="1">
      <alignment horizontal="center" vertical="center"/>
    </xf>
    <xf numFmtId="0" fontId="82" fillId="0" borderId="0" xfId="0" applyFont="1" applyAlignment="1">
      <alignment vertical="center"/>
    </xf>
    <xf numFmtId="0" fontId="82" fillId="0" borderId="0" xfId="0" applyFont="1" applyAlignment="1">
      <alignment horizontal="center" vertical="center"/>
    </xf>
    <xf numFmtId="0" fontId="74" fillId="0" borderId="0" xfId="0" applyFont="1" applyAlignment="1">
      <alignment vertical="center"/>
    </xf>
    <xf numFmtId="0" fontId="80" fillId="0" borderId="0" xfId="0" applyFont="1" applyAlignment="1">
      <alignment vertical="center"/>
    </xf>
    <xf numFmtId="0" fontId="57" fillId="0" borderId="66" xfId="0" applyFont="1" applyBorder="1" applyAlignment="1">
      <alignment horizontal="center" vertical="center"/>
    </xf>
    <xf numFmtId="1" fontId="57" fillId="0" borderId="50" xfId="0" applyNumberFormat="1" applyFont="1" applyBorder="1" applyAlignment="1">
      <alignment horizontal="center" vertical="center"/>
    </xf>
    <xf numFmtId="49" fontId="74" fillId="0" borderId="56" xfId="0" applyNumberFormat="1" applyFont="1" applyBorder="1" applyAlignment="1">
      <alignment horizontal="center" vertical="center"/>
    </xf>
    <xf numFmtId="164" fontId="74" fillId="0" borderId="56" xfId="3" applyFont="1" applyBorder="1" applyAlignment="1">
      <alignment horizontal="justify" vertical="center" wrapText="1"/>
    </xf>
    <xf numFmtId="167" fontId="74" fillId="0" borderId="57" xfId="0" applyNumberFormat="1" applyFont="1" applyBorder="1" applyAlignment="1">
      <alignment horizontal="center" vertical="center"/>
    </xf>
    <xf numFmtId="1" fontId="74" fillId="0" borderId="74" xfId="3" applyNumberFormat="1" applyFont="1" applyBorder="1" applyAlignment="1">
      <alignment horizontal="center" vertical="center"/>
    </xf>
    <xf numFmtId="49" fontId="74" fillId="0" borderId="59" xfId="0" applyNumberFormat="1" applyFont="1" applyBorder="1" applyAlignment="1">
      <alignment horizontal="center" vertical="center"/>
    </xf>
    <xf numFmtId="164" fontId="74" fillId="0" borderId="59" xfId="3" applyFont="1" applyBorder="1" applyAlignment="1">
      <alignment horizontal="justify" vertical="center" wrapText="1"/>
    </xf>
    <xf numFmtId="2" fontId="74" fillId="0" borderId="60" xfId="0" applyNumberFormat="1" applyFont="1" applyBorder="1" applyAlignment="1">
      <alignment horizontal="center" vertical="center" wrapText="1"/>
    </xf>
    <xf numFmtId="1" fontId="84" fillId="0" borderId="74" xfId="3" applyNumberFormat="1" applyFont="1" applyBorder="1" applyAlignment="1">
      <alignment horizontal="center" vertical="center"/>
    </xf>
    <xf numFmtId="49" fontId="84" fillId="0" borderId="59" xfId="0" applyNumberFormat="1" applyFont="1" applyBorder="1" applyAlignment="1">
      <alignment horizontal="center" vertical="center"/>
    </xf>
    <xf numFmtId="164" fontId="84" fillId="0" borderId="59" xfId="3" applyFont="1" applyBorder="1" applyAlignment="1">
      <alignment horizontal="justify" vertical="center" wrapText="1"/>
    </xf>
    <xf numFmtId="167" fontId="84" fillId="0" borderId="60" xfId="0" applyNumberFormat="1" applyFont="1" applyBorder="1" applyAlignment="1">
      <alignment horizontal="center" vertical="center"/>
    </xf>
    <xf numFmtId="164" fontId="85" fillId="0" borderId="59" xfId="3" applyFont="1" applyBorder="1" applyAlignment="1">
      <alignment horizontal="center" vertical="center" wrapText="1"/>
    </xf>
    <xf numFmtId="2" fontId="84" fillId="0" borderId="60" xfId="0" applyNumberFormat="1" applyFont="1" applyBorder="1" applyAlignment="1">
      <alignment horizontal="center" vertical="center" wrapText="1"/>
    </xf>
    <xf numFmtId="1" fontId="84" fillId="0" borderId="74" xfId="3" applyNumberFormat="1" applyFont="1" applyBorder="1" applyAlignment="1">
      <alignment horizontal="center" vertical="center" wrapText="1"/>
    </xf>
    <xf numFmtId="0" fontId="84" fillId="7" borderId="108" xfId="0" applyFont="1" applyFill="1" applyBorder="1" applyAlignment="1">
      <alignment horizontal="center" vertical="center" wrapText="1"/>
    </xf>
    <xf numFmtId="0" fontId="84" fillId="7" borderId="47" xfId="0" applyFont="1" applyFill="1" applyBorder="1" applyAlignment="1">
      <alignment horizontal="center" vertical="center" wrapText="1"/>
    </xf>
    <xf numFmtId="0" fontId="86" fillId="7" borderId="109" xfId="0" applyFont="1" applyFill="1" applyBorder="1" applyAlignment="1">
      <alignment vertical="center" wrapText="1"/>
    </xf>
    <xf numFmtId="1" fontId="84" fillId="0" borderId="106" xfId="3" applyNumberFormat="1" applyFont="1" applyBorder="1" applyAlignment="1">
      <alignment horizontal="center" vertical="center"/>
    </xf>
    <xf numFmtId="0" fontId="84" fillId="0" borderId="64" xfId="0" applyFont="1" applyBorder="1" applyAlignment="1">
      <alignment horizontal="center" vertical="center"/>
    </xf>
    <xf numFmtId="0" fontId="86" fillId="7" borderId="38" xfId="0" applyFont="1" applyFill="1" applyBorder="1" applyAlignment="1">
      <alignment vertical="center" wrapText="1"/>
    </xf>
    <xf numFmtId="2" fontId="84" fillId="0" borderId="65" xfId="0" applyNumberFormat="1" applyFont="1" applyBorder="1" applyAlignment="1">
      <alignment horizontal="center" vertical="center" wrapText="1"/>
    </xf>
    <xf numFmtId="0" fontId="56" fillId="0" borderId="47" xfId="0" applyFont="1" applyBorder="1" applyAlignment="1">
      <alignment horizontal="left" vertical="center" wrapText="1"/>
    </xf>
    <xf numFmtId="0" fontId="4" fillId="0" borderId="0" xfId="0" applyFont="1"/>
    <xf numFmtId="0" fontId="7" fillId="0" borderId="35" xfId="0" applyFont="1" applyBorder="1" applyAlignment="1">
      <alignment horizontal="center" vertical="distributed"/>
    </xf>
    <xf numFmtId="0" fontId="7" fillId="0" borderId="36" xfId="0" applyFont="1" applyBorder="1" applyAlignment="1">
      <alignment horizontal="center" vertical="distributed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63" fillId="0" borderId="0" xfId="0" applyFont="1" applyAlignment="1">
      <alignment horizontal="center" vertical="center" wrapText="1"/>
    </xf>
    <xf numFmtId="164" fontId="70" fillId="9" borderId="0" xfId="3" applyFont="1" applyFill="1" applyAlignment="1">
      <alignment horizontal="left" vertical="center" wrapText="1"/>
    </xf>
    <xf numFmtId="1" fontId="65" fillId="0" borderId="0" xfId="6" applyNumberFormat="1" applyFont="1" applyAlignment="1">
      <alignment horizontal="center" vertical="center"/>
    </xf>
    <xf numFmtId="1" fontId="66" fillId="0" borderId="0" xfId="6" applyNumberFormat="1" applyFont="1" applyAlignment="1">
      <alignment horizontal="center" vertical="center"/>
    </xf>
    <xf numFmtId="0" fontId="67" fillId="0" borderId="50" xfId="6" applyFont="1" applyBorder="1" applyAlignment="1">
      <alignment horizontal="center" vertical="center"/>
    </xf>
    <xf numFmtId="0" fontId="67" fillId="0" borderId="51" xfId="6" applyFont="1" applyBorder="1" applyAlignment="1">
      <alignment horizontal="center" vertical="center"/>
    </xf>
    <xf numFmtId="0" fontId="67" fillId="0" borderId="53" xfId="6" applyFont="1" applyBorder="1" applyAlignment="1">
      <alignment horizontal="center" vertical="center"/>
    </xf>
    <xf numFmtId="0" fontId="67" fillId="0" borderId="52" xfId="6" applyFont="1" applyBorder="1" applyAlignment="1">
      <alignment horizontal="center" vertical="center" wrapText="1"/>
    </xf>
    <xf numFmtId="0" fontId="67" fillId="0" borderId="54" xfId="6" applyFont="1" applyBorder="1" applyAlignment="1">
      <alignment horizontal="center" vertical="center" wrapText="1"/>
    </xf>
    <xf numFmtId="0" fontId="61" fillId="7" borderId="45" xfId="0" applyFont="1" applyFill="1" applyBorder="1" applyAlignment="1">
      <alignment horizontal="center" vertical="center" wrapText="1"/>
    </xf>
    <xf numFmtId="0" fontId="61" fillId="7" borderId="43" xfId="0" applyFont="1" applyFill="1" applyBorder="1" applyAlignment="1">
      <alignment horizontal="center" vertical="center" wrapText="1"/>
    </xf>
    <xf numFmtId="0" fontId="61" fillId="7" borderId="44" xfId="0" applyFont="1" applyFill="1" applyBorder="1" applyAlignment="1">
      <alignment horizontal="center" vertical="center" wrapText="1"/>
    </xf>
    <xf numFmtId="0" fontId="60" fillId="0" borderId="0" xfId="0" applyFont="1" applyAlignment="1">
      <alignment horizontal="center" vertical="center"/>
    </xf>
    <xf numFmtId="0" fontId="57" fillId="0" borderId="50" xfId="0" applyFont="1" applyBorder="1" applyAlignment="1">
      <alignment horizontal="center" vertical="center"/>
    </xf>
    <xf numFmtId="0" fontId="57" fillId="0" borderId="66" xfId="0" applyFont="1" applyBorder="1" applyAlignment="1">
      <alignment horizontal="center" vertical="center"/>
    </xf>
    <xf numFmtId="0" fontId="57" fillId="0" borderId="52" xfId="0" applyFont="1" applyBorder="1" applyAlignment="1">
      <alignment horizontal="center" vertical="center"/>
    </xf>
    <xf numFmtId="0" fontId="57" fillId="0" borderId="54" xfId="0" applyFont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57" fillId="0" borderId="46" xfId="0" applyFont="1" applyBorder="1" applyAlignment="1">
      <alignment horizontal="center" vertical="center"/>
    </xf>
    <xf numFmtId="0" fontId="57" fillId="0" borderId="48" xfId="0" applyFont="1" applyBorder="1" applyAlignment="1">
      <alignment horizontal="center" vertical="center"/>
    </xf>
    <xf numFmtId="0" fontId="57" fillId="0" borderId="46" xfId="0" applyFont="1" applyBorder="1" applyAlignment="1">
      <alignment horizontal="center" vertical="center" wrapText="1"/>
    </xf>
    <xf numFmtId="0" fontId="57" fillId="0" borderId="48" xfId="0" applyFont="1" applyBorder="1" applyAlignment="1">
      <alignment horizontal="center" vertical="center" wrapText="1"/>
    </xf>
    <xf numFmtId="0" fontId="61" fillId="7" borderId="46" xfId="0" applyFont="1" applyFill="1" applyBorder="1" applyAlignment="1">
      <alignment horizontal="center" vertical="center" wrapText="1"/>
    </xf>
    <xf numFmtId="0" fontId="61" fillId="7" borderId="48" xfId="0" applyFont="1" applyFill="1" applyBorder="1" applyAlignment="1">
      <alignment horizontal="center" vertical="center" wrapText="1"/>
    </xf>
    <xf numFmtId="0" fontId="57" fillId="0" borderId="45" xfId="0" applyFont="1" applyBorder="1" applyAlignment="1">
      <alignment horizontal="center" vertical="center" wrapText="1"/>
    </xf>
    <xf numFmtId="0" fontId="74" fillId="0" borderId="0" xfId="0" applyFont="1" applyAlignment="1">
      <alignment horizontal="left" vertical="center" wrapText="1"/>
    </xf>
    <xf numFmtId="0" fontId="65" fillId="0" borderId="0" xfId="0" applyFont="1" applyAlignment="1">
      <alignment horizontal="center" vertical="center"/>
    </xf>
    <xf numFmtId="0" fontId="73" fillId="0" borderId="66" xfId="0" applyFont="1" applyBorder="1" applyAlignment="1">
      <alignment horizontal="center" vertical="center"/>
    </xf>
    <xf numFmtId="0" fontId="73" fillId="0" borderId="67" xfId="0" applyFont="1" applyBorder="1" applyAlignment="1">
      <alignment horizontal="center" vertical="center"/>
    </xf>
    <xf numFmtId="0" fontId="73" fillId="0" borderId="68" xfId="0" applyFont="1" applyBorder="1" applyAlignment="1">
      <alignment horizontal="center" vertical="center"/>
    </xf>
    <xf numFmtId="0" fontId="73" fillId="0" borderId="52" xfId="0" applyFont="1" applyBorder="1" applyAlignment="1">
      <alignment horizontal="center" vertical="center"/>
    </xf>
    <xf numFmtId="0" fontId="73" fillId="0" borderId="54" xfId="0" applyFont="1" applyBorder="1" applyAlignment="1">
      <alignment horizontal="center" vertical="center"/>
    </xf>
    <xf numFmtId="0" fontId="73" fillId="0" borderId="69" xfId="0" applyFont="1" applyBorder="1" applyAlignment="1">
      <alignment horizontal="center" vertical="center"/>
    </xf>
    <xf numFmtId="0" fontId="73" fillId="0" borderId="70" xfId="0" applyFont="1" applyBorder="1" applyAlignment="1">
      <alignment horizontal="center" vertical="center"/>
    </xf>
    <xf numFmtId="0" fontId="56" fillId="0" borderId="49" xfId="0" applyFont="1" applyBorder="1" applyAlignment="1">
      <alignment horizontal="center" vertical="center" wrapText="1"/>
    </xf>
  </cellXfs>
  <cellStyles count="8">
    <cellStyle name="Normal" xfId="0" builtinId="0"/>
    <cellStyle name="Normal 2" xfId="1" xr:uid="{00000000-0005-0000-0000-000002000000}"/>
    <cellStyle name="Normal 2 2" xfId="6" xr:uid="{E5CAAFF3-5132-4C27-936B-1800E2CF225C}"/>
    <cellStyle name="Normal 3" xfId="5" xr:uid="{00000000-0005-0000-0000-000003000000}"/>
    <cellStyle name="Normal 3 2" xfId="2" xr:uid="{00000000-0005-0000-0000-000004000000}"/>
    <cellStyle name="Normal 3 3" xfId="7" xr:uid="{6CEEF712-1080-450D-8FCE-E3E4C5B1B9AD}"/>
    <cellStyle name="Normal_Anexo II e III" xfId="3" xr:uid="{00000000-0005-0000-0000-000005000000}"/>
    <cellStyle name="Normal_DErma" xfId="4" xr:uid="{00000000-0005-0000-0000-000006000000}"/>
  </cellStyles>
  <dxfs count="6">
    <dxf>
      <fill>
        <patternFill patternType="none">
          <bgColor auto="1"/>
        </patternFill>
      </fill>
    </dxf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ont>
        <color rgb="FF0070C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indexed="10"/>
      </font>
    </dxf>
  </dxfs>
  <tableStyles count="0" defaultTableStyle="TableStyleMedium9" defaultPivotStyle="PivotStyleLight16"/>
  <colors>
    <mruColors>
      <color rgb="FF3333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3"/>
  <sheetViews>
    <sheetView workbookViewId="0">
      <selection activeCell="G2" sqref="G2"/>
    </sheetView>
  </sheetViews>
  <sheetFormatPr defaultRowHeight="12.75" x14ac:dyDescent="0.2"/>
  <cols>
    <col min="1" max="1" width="7.85546875" style="110" customWidth="1"/>
    <col min="2" max="2" width="72" style="112" bestFit="1" customWidth="1"/>
    <col min="3" max="3" width="10.5703125" style="96" customWidth="1"/>
    <col min="4" max="4" width="10.42578125" style="96" customWidth="1"/>
    <col min="5" max="5" width="9.85546875" style="96" customWidth="1"/>
    <col min="6" max="6" width="9.5703125" style="97" customWidth="1"/>
    <col min="7" max="7" width="9" style="111" customWidth="1"/>
  </cols>
  <sheetData>
    <row r="1" spans="1:7" ht="21" customHeight="1" thickBot="1" x14ac:dyDescent="0.3">
      <c r="A1" s="47"/>
      <c r="B1" s="48"/>
      <c r="C1" s="49"/>
      <c r="D1" s="49"/>
      <c r="E1" s="49"/>
      <c r="F1" s="50"/>
      <c r="G1" s="113"/>
    </row>
    <row r="2" spans="1:7" ht="48.75" thickBot="1" x14ac:dyDescent="0.25">
      <c r="A2" s="51" t="s">
        <v>0</v>
      </c>
      <c r="B2" s="52" t="s">
        <v>1</v>
      </c>
      <c r="C2" s="53" t="s">
        <v>2</v>
      </c>
      <c r="D2" s="53" t="s">
        <v>3</v>
      </c>
      <c r="E2" s="53" t="s">
        <v>4</v>
      </c>
      <c r="F2" s="53" t="s">
        <v>5</v>
      </c>
      <c r="G2" s="53" t="s">
        <v>6</v>
      </c>
    </row>
    <row r="3" spans="1:7" ht="55.5" customHeight="1" x14ac:dyDescent="0.2">
      <c r="A3" s="54"/>
      <c r="B3" s="55" t="s">
        <v>7</v>
      </c>
      <c r="C3" s="56"/>
      <c r="D3" s="56"/>
      <c r="E3" s="56"/>
      <c r="F3" s="57"/>
      <c r="G3" s="58"/>
    </row>
    <row r="4" spans="1:7" x14ac:dyDescent="0.2">
      <c r="A4" s="59">
        <v>1</v>
      </c>
      <c r="B4" s="60" t="s">
        <v>8</v>
      </c>
      <c r="C4" s="61">
        <v>2.99</v>
      </c>
      <c r="D4" s="61">
        <v>4.0999999999999996</v>
      </c>
      <c r="E4" s="61">
        <v>4.2</v>
      </c>
      <c r="F4" s="62">
        <v>4.3</v>
      </c>
      <c r="G4" s="63">
        <v>4.4000000000000004</v>
      </c>
    </row>
    <row r="5" spans="1:7" x14ac:dyDescent="0.2">
      <c r="A5" s="64">
        <v>2</v>
      </c>
      <c r="B5" s="60" t="s">
        <v>9</v>
      </c>
      <c r="C5" s="61">
        <v>2</v>
      </c>
      <c r="D5" s="61">
        <v>2.7</v>
      </c>
      <c r="E5" s="61">
        <v>2.75</v>
      </c>
      <c r="F5" s="62">
        <v>2.85</v>
      </c>
      <c r="G5" s="63">
        <v>2.9</v>
      </c>
    </row>
    <row r="6" spans="1:7" x14ac:dyDescent="0.2">
      <c r="A6" s="64">
        <v>3</v>
      </c>
      <c r="B6" s="60" t="s">
        <v>10</v>
      </c>
      <c r="C6" s="61">
        <v>1.5</v>
      </c>
      <c r="D6" s="61">
        <v>2</v>
      </c>
      <c r="E6" s="61">
        <v>2.0499999999999998</v>
      </c>
      <c r="F6" s="62">
        <v>2.1</v>
      </c>
      <c r="G6" s="65">
        <v>2.15</v>
      </c>
    </row>
    <row r="7" spans="1:7" x14ac:dyDescent="0.2">
      <c r="A7" s="64"/>
      <c r="B7" s="60"/>
      <c r="C7" s="66"/>
      <c r="D7" s="66"/>
      <c r="E7" s="66"/>
      <c r="F7" s="67"/>
      <c r="G7" s="68"/>
    </row>
    <row r="8" spans="1:7" x14ac:dyDescent="0.2">
      <c r="A8" s="64"/>
      <c r="B8" s="69" t="s">
        <v>11</v>
      </c>
      <c r="C8" s="66"/>
      <c r="D8" s="66"/>
      <c r="E8" s="66"/>
      <c r="F8" s="70"/>
      <c r="G8" s="63"/>
    </row>
    <row r="9" spans="1:7" x14ac:dyDescent="0.2">
      <c r="A9" s="64">
        <v>4</v>
      </c>
      <c r="B9" s="60" t="s">
        <v>12</v>
      </c>
      <c r="C9" s="61">
        <v>4.99</v>
      </c>
      <c r="D9" s="61">
        <v>6.9</v>
      </c>
      <c r="E9" s="61">
        <v>8.5</v>
      </c>
      <c r="F9" s="71">
        <v>8.75</v>
      </c>
      <c r="G9" s="63">
        <v>9.1999999999999993</v>
      </c>
    </row>
    <row r="10" spans="1:7" x14ac:dyDescent="0.2">
      <c r="A10" s="64">
        <v>5</v>
      </c>
      <c r="B10" s="60" t="s">
        <v>9</v>
      </c>
      <c r="C10" s="61">
        <v>4.99</v>
      </c>
      <c r="D10" s="61">
        <v>6.1</v>
      </c>
      <c r="E10" s="61">
        <v>7.5</v>
      </c>
      <c r="F10" s="71">
        <v>7.75</v>
      </c>
      <c r="G10" s="63">
        <v>8.1999999999999993</v>
      </c>
    </row>
    <row r="11" spans="1:7" x14ac:dyDescent="0.2">
      <c r="A11" s="64">
        <v>6</v>
      </c>
      <c r="B11" s="60" t="s">
        <v>10</v>
      </c>
      <c r="C11" s="61">
        <v>2</v>
      </c>
      <c r="D11" s="61">
        <v>2.7</v>
      </c>
      <c r="E11" s="61">
        <v>3.3</v>
      </c>
      <c r="F11" s="71">
        <v>3.4</v>
      </c>
      <c r="G11" s="63">
        <v>3.6</v>
      </c>
    </row>
    <row r="12" spans="1:7" x14ac:dyDescent="0.2">
      <c r="A12" s="64"/>
      <c r="B12" s="60"/>
      <c r="C12" s="61"/>
      <c r="D12" s="61"/>
      <c r="E12" s="61"/>
      <c r="F12" s="62"/>
      <c r="G12" s="63"/>
    </row>
    <row r="13" spans="1:7" x14ac:dyDescent="0.2">
      <c r="A13" s="64">
        <v>376</v>
      </c>
      <c r="B13" s="72" t="s">
        <v>13</v>
      </c>
      <c r="C13" s="73" t="s">
        <v>14</v>
      </c>
      <c r="D13" s="73" t="s">
        <v>14</v>
      </c>
      <c r="E13" s="73" t="s">
        <v>14</v>
      </c>
      <c r="F13" s="62">
        <v>5</v>
      </c>
      <c r="G13" s="63">
        <v>5.0999999999999996</v>
      </c>
    </row>
    <row r="14" spans="1:7" ht="12.75" customHeight="1" x14ac:dyDescent="0.2">
      <c r="A14" s="64"/>
      <c r="B14" s="69"/>
      <c r="C14" s="61"/>
      <c r="D14" s="61"/>
      <c r="E14" s="61"/>
      <c r="F14" s="62"/>
      <c r="G14" s="63"/>
    </row>
    <row r="15" spans="1:7" ht="12.75" customHeight="1" x14ac:dyDescent="0.2">
      <c r="A15" s="64">
        <v>377</v>
      </c>
      <c r="B15" s="69" t="s">
        <v>15</v>
      </c>
      <c r="C15" s="73" t="s">
        <v>14</v>
      </c>
      <c r="D15" s="73" t="s">
        <v>14</v>
      </c>
      <c r="E15" s="73" t="s">
        <v>14</v>
      </c>
      <c r="F15" s="62">
        <v>10</v>
      </c>
      <c r="G15" s="65">
        <v>10.199999999999999</v>
      </c>
    </row>
    <row r="16" spans="1:7" x14ac:dyDescent="0.2">
      <c r="A16" s="64"/>
      <c r="B16" s="60"/>
      <c r="C16" s="66"/>
      <c r="D16" s="66"/>
      <c r="E16" s="66"/>
      <c r="F16" s="67"/>
      <c r="G16" s="63"/>
    </row>
    <row r="17" spans="1:7" x14ac:dyDescent="0.2">
      <c r="A17" s="64">
        <v>7</v>
      </c>
      <c r="B17" s="69" t="s">
        <v>16</v>
      </c>
      <c r="C17" s="66">
        <v>2.99</v>
      </c>
      <c r="D17" s="66">
        <v>4.2</v>
      </c>
      <c r="E17" s="66">
        <v>4.3</v>
      </c>
      <c r="F17" s="62">
        <v>4.5</v>
      </c>
      <c r="G17" s="65">
        <v>4.5999999999999996</v>
      </c>
    </row>
    <row r="18" spans="1:7" x14ac:dyDescent="0.2">
      <c r="A18" s="64"/>
      <c r="B18" s="60"/>
      <c r="C18" s="66"/>
      <c r="D18" s="66"/>
      <c r="E18" s="66"/>
      <c r="F18" s="67"/>
      <c r="G18" s="65"/>
    </row>
    <row r="19" spans="1:7" x14ac:dyDescent="0.2">
      <c r="A19" s="74"/>
      <c r="B19" s="60"/>
      <c r="C19" s="66"/>
      <c r="D19" s="66"/>
      <c r="E19" s="66"/>
      <c r="F19" s="67"/>
      <c r="G19" s="68"/>
    </row>
    <row r="20" spans="1:7" x14ac:dyDescent="0.2">
      <c r="A20" s="64"/>
      <c r="B20" s="69" t="s">
        <v>17</v>
      </c>
      <c r="C20" s="66"/>
      <c r="D20" s="66"/>
      <c r="E20" s="66"/>
      <c r="F20" s="70"/>
      <c r="G20" s="63"/>
    </row>
    <row r="21" spans="1:7" x14ac:dyDescent="0.2">
      <c r="A21" s="74">
        <v>8</v>
      </c>
      <c r="B21" s="60" t="s">
        <v>18</v>
      </c>
      <c r="C21" s="61">
        <v>3.74</v>
      </c>
      <c r="D21" s="61">
        <v>4.7</v>
      </c>
      <c r="E21" s="61">
        <v>4.8</v>
      </c>
      <c r="F21" s="62">
        <v>5</v>
      </c>
      <c r="G21" s="63">
        <v>5.0999999999999996</v>
      </c>
    </row>
    <row r="22" spans="1:7" x14ac:dyDescent="0.2">
      <c r="A22" s="74">
        <v>9</v>
      </c>
      <c r="B22" s="60" t="s">
        <v>19</v>
      </c>
      <c r="C22" s="61">
        <v>3.74</v>
      </c>
      <c r="D22" s="61">
        <v>4.7</v>
      </c>
      <c r="E22" s="61">
        <v>4.8</v>
      </c>
      <c r="F22" s="62">
        <v>5</v>
      </c>
      <c r="G22" s="63">
        <v>5.0999999999999996</v>
      </c>
    </row>
    <row r="23" spans="1:7" x14ac:dyDescent="0.2">
      <c r="A23" s="74">
        <v>10</v>
      </c>
      <c r="B23" s="60" t="s">
        <v>20</v>
      </c>
      <c r="C23" s="61">
        <v>3.74</v>
      </c>
      <c r="D23" s="61">
        <v>2.2999999999999998</v>
      </c>
      <c r="E23" s="61">
        <v>2.4</v>
      </c>
      <c r="F23" s="62">
        <v>2.5</v>
      </c>
      <c r="G23" s="63">
        <v>2.5499999999999998</v>
      </c>
    </row>
    <row r="24" spans="1:7" x14ac:dyDescent="0.2">
      <c r="A24" s="75"/>
      <c r="B24" s="60"/>
      <c r="C24" s="61"/>
      <c r="D24" s="61"/>
      <c r="E24" s="61"/>
      <c r="F24" s="62"/>
      <c r="G24" s="65"/>
    </row>
    <row r="25" spans="1:7" x14ac:dyDescent="0.2">
      <c r="A25" s="74"/>
      <c r="B25" s="60"/>
      <c r="C25" s="66"/>
      <c r="D25" s="66"/>
      <c r="E25" s="66"/>
      <c r="F25" s="67"/>
      <c r="G25" s="68"/>
    </row>
    <row r="26" spans="1:7" x14ac:dyDescent="0.2">
      <c r="A26" s="74"/>
      <c r="B26" s="69" t="s">
        <v>21</v>
      </c>
      <c r="C26" s="66"/>
      <c r="D26" s="66"/>
      <c r="E26" s="66"/>
      <c r="F26" s="70"/>
      <c r="G26" s="63"/>
    </row>
    <row r="27" spans="1:7" x14ac:dyDescent="0.2">
      <c r="A27" s="74">
        <v>11</v>
      </c>
      <c r="B27" s="60" t="s">
        <v>22</v>
      </c>
      <c r="C27" s="66"/>
      <c r="D27" s="66">
        <v>5</v>
      </c>
      <c r="E27" s="66">
        <v>5.0999999999999996</v>
      </c>
      <c r="F27" s="62">
        <v>5.25</v>
      </c>
      <c r="G27" s="63">
        <v>5.4</v>
      </c>
    </row>
    <row r="28" spans="1:7" x14ac:dyDescent="0.2">
      <c r="A28" s="74">
        <v>20</v>
      </c>
      <c r="B28" s="76" t="s">
        <v>23</v>
      </c>
      <c r="C28" s="61"/>
      <c r="D28" s="61">
        <v>5</v>
      </c>
      <c r="E28" s="61">
        <v>5.0999999999999996</v>
      </c>
      <c r="F28" s="62">
        <v>5.25</v>
      </c>
      <c r="G28" s="65">
        <v>5.4</v>
      </c>
    </row>
    <row r="29" spans="1:7" x14ac:dyDescent="0.2">
      <c r="A29" s="74"/>
      <c r="B29" s="60" t="s">
        <v>24</v>
      </c>
      <c r="C29" s="66"/>
      <c r="D29" s="66"/>
      <c r="E29" s="66"/>
      <c r="F29" s="67"/>
      <c r="G29" s="63"/>
    </row>
    <row r="30" spans="1:7" x14ac:dyDescent="0.2">
      <c r="A30" s="64">
        <v>12</v>
      </c>
      <c r="B30" s="77" t="s">
        <v>25</v>
      </c>
      <c r="C30" s="61">
        <v>1</v>
      </c>
      <c r="D30" s="61">
        <v>0.7</v>
      </c>
      <c r="E30" s="61">
        <v>0.7</v>
      </c>
      <c r="F30" s="62">
        <v>1</v>
      </c>
      <c r="G30" s="63">
        <v>1</v>
      </c>
    </row>
    <row r="31" spans="1:7" x14ac:dyDescent="0.2">
      <c r="A31" s="74">
        <v>13</v>
      </c>
      <c r="B31" s="77" t="s">
        <v>26</v>
      </c>
      <c r="C31" s="61"/>
      <c r="D31" s="61">
        <v>5</v>
      </c>
      <c r="E31" s="61">
        <v>5.0999999999999996</v>
      </c>
      <c r="F31" s="62">
        <v>5.25</v>
      </c>
      <c r="G31" s="63">
        <v>5.4</v>
      </c>
    </row>
    <row r="32" spans="1:7" x14ac:dyDescent="0.2">
      <c r="A32" s="74">
        <v>14</v>
      </c>
      <c r="B32" s="76" t="s">
        <v>27</v>
      </c>
      <c r="C32" s="61"/>
      <c r="D32" s="61">
        <v>5</v>
      </c>
      <c r="E32" s="61">
        <v>5.0999999999999996</v>
      </c>
      <c r="F32" s="62">
        <v>5.25</v>
      </c>
      <c r="G32" s="63">
        <v>5.4</v>
      </c>
    </row>
    <row r="33" spans="1:7" x14ac:dyDescent="0.2">
      <c r="A33" s="74">
        <v>15</v>
      </c>
      <c r="B33" s="76" t="s">
        <v>28</v>
      </c>
      <c r="C33" s="61"/>
      <c r="D33" s="61">
        <v>5</v>
      </c>
      <c r="E33" s="61">
        <v>5.0999999999999996</v>
      </c>
      <c r="F33" s="62">
        <v>5.25</v>
      </c>
      <c r="G33" s="63">
        <v>5.4</v>
      </c>
    </row>
    <row r="34" spans="1:7" x14ac:dyDescent="0.2">
      <c r="A34" s="74">
        <v>16</v>
      </c>
      <c r="B34" s="60" t="s">
        <v>29</v>
      </c>
      <c r="C34" s="66"/>
      <c r="D34" s="66">
        <v>5</v>
      </c>
      <c r="E34" s="66">
        <v>5.0999999999999996</v>
      </c>
      <c r="F34" s="62">
        <v>5.25</v>
      </c>
      <c r="G34" s="63">
        <v>5.4</v>
      </c>
    </row>
    <row r="35" spans="1:7" x14ac:dyDescent="0.2">
      <c r="A35" s="74">
        <v>18</v>
      </c>
      <c r="B35" s="60" t="s">
        <v>30</v>
      </c>
      <c r="C35" s="66"/>
      <c r="D35" s="66">
        <v>5</v>
      </c>
      <c r="E35" s="66">
        <v>5.0999999999999996</v>
      </c>
      <c r="F35" s="62">
        <v>5.25</v>
      </c>
      <c r="G35" s="63">
        <v>5.4</v>
      </c>
    </row>
    <row r="36" spans="1:7" x14ac:dyDescent="0.2">
      <c r="A36" s="74">
        <v>19</v>
      </c>
      <c r="B36" s="60" t="s">
        <v>31</v>
      </c>
      <c r="C36" s="61"/>
      <c r="D36" s="61">
        <v>2.8</v>
      </c>
      <c r="E36" s="61">
        <v>2.9</v>
      </c>
      <c r="F36" s="62">
        <v>3</v>
      </c>
      <c r="G36" s="63">
        <v>3.05</v>
      </c>
    </row>
    <row r="37" spans="1:7" x14ac:dyDescent="0.2">
      <c r="A37" s="74"/>
      <c r="B37" s="60"/>
      <c r="C37" s="61"/>
      <c r="D37" s="61"/>
      <c r="E37" s="61"/>
      <c r="F37" s="62"/>
      <c r="G37" s="65"/>
    </row>
    <row r="38" spans="1:7" x14ac:dyDescent="0.2">
      <c r="A38" s="78"/>
      <c r="B38" s="60"/>
      <c r="C38" s="66"/>
      <c r="D38" s="66"/>
      <c r="E38" s="66"/>
      <c r="F38" s="67"/>
      <c r="G38" s="63"/>
    </row>
    <row r="39" spans="1:7" x14ac:dyDescent="0.2">
      <c r="A39" s="74">
        <v>21</v>
      </c>
      <c r="B39" s="69" t="s">
        <v>32</v>
      </c>
      <c r="C39" s="66"/>
      <c r="D39" s="66">
        <v>5</v>
      </c>
      <c r="E39" s="66">
        <v>5.0999999999999996</v>
      </c>
      <c r="F39" s="62">
        <v>5.25</v>
      </c>
      <c r="G39" s="65">
        <v>5.4</v>
      </c>
    </row>
    <row r="40" spans="1:7" x14ac:dyDescent="0.2">
      <c r="A40" s="74"/>
      <c r="B40" s="60"/>
      <c r="C40" s="66"/>
      <c r="D40" s="66"/>
      <c r="E40" s="66"/>
      <c r="F40" s="70"/>
      <c r="G40" s="65"/>
    </row>
    <row r="41" spans="1:7" x14ac:dyDescent="0.2">
      <c r="A41" s="74"/>
      <c r="B41" s="60"/>
      <c r="C41" s="66"/>
      <c r="D41" s="66"/>
      <c r="E41" s="66"/>
      <c r="F41" s="67"/>
      <c r="G41" s="68"/>
    </row>
    <row r="42" spans="1:7" x14ac:dyDescent="0.2">
      <c r="A42" s="74"/>
      <c r="B42" s="69" t="s">
        <v>33</v>
      </c>
      <c r="C42" s="66"/>
      <c r="D42" s="66"/>
      <c r="E42" s="66"/>
      <c r="F42" s="70"/>
      <c r="G42" s="65"/>
    </row>
    <row r="43" spans="1:7" x14ac:dyDescent="0.2">
      <c r="A43" s="74"/>
      <c r="B43" s="76" t="s">
        <v>34</v>
      </c>
      <c r="C43" s="66"/>
      <c r="D43" s="66"/>
      <c r="E43" s="66"/>
      <c r="F43" s="67"/>
      <c r="G43" s="63"/>
    </row>
    <row r="44" spans="1:7" x14ac:dyDescent="0.2">
      <c r="A44" s="79">
        <v>22</v>
      </c>
      <c r="B44" s="77" t="s">
        <v>35</v>
      </c>
      <c r="C44" s="61"/>
      <c r="D44" s="61">
        <v>1</v>
      </c>
      <c r="E44" s="61">
        <v>1.05</v>
      </c>
      <c r="F44" s="62">
        <v>1.1000000000000001</v>
      </c>
      <c r="G44" s="63">
        <v>1.1000000000000001</v>
      </c>
    </row>
    <row r="45" spans="1:7" x14ac:dyDescent="0.2">
      <c r="A45" s="79">
        <v>23</v>
      </c>
      <c r="B45" s="77" t="s">
        <v>36</v>
      </c>
      <c r="C45" s="61"/>
      <c r="D45" s="61">
        <v>1.1000000000000001</v>
      </c>
      <c r="E45" s="61">
        <v>1.1499999999999999</v>
      </c>
      <c r="F45" s="62">
        <v>1.2</v>
      </c>
      <c r="G45" s="63">
        <v>1.2</v>
      </c>
    </row>
    <row r="46" spans="1:7" x14ac:dyDescent="0.2">
      <c r="A46" s="79">
        <v>24</v>
      </c>
      <c r="B46" s="77" t="s">
        <v>37</v>
      </c>
      <c r="C46" s="61"/>
      <c r="D46" s="61">
        <v>3.9</v>
      </c>
      <c r="E46" s="61">
        <v>4</v>
      </c>
      <c r="F46" s="62">
        <v>4.1500000000000004</v>
      </c>
      <c r="G46" s="65">
        <v>4.2</v>
      </c>
    </row>
    <row r="47" spans="1:7" x14ac:dyDescent="0.2">
      <c r="A47" s="74"/>
      <c r="B47" s="76" t="s">
        <v>38</v>
      </c>
      <c r="C47" s="66"/>
      <c r="D47" s="66"/>
      <c r="E47" s="66"/>
      <c r="F47" s="67"/>
      <c r="G47" s="63"/>
    </row>
    <row r="48" spans="1:7" x14ac:dyDescent="0.2">
      <c r="A48" s="74">
        <v>27</v>
      </c>
      <c r="B48" s="80" t="s">
        <v>39</v>
      </c>
      <c r="C48" s="61"/>
      <c r="D48" s="61">
        <v>4.0999999999999996</v>
      </c>
      <c r="E48" s="61">
        <v>4.2</v>
      </c>
      <c r="F48" s="62">
        <v>4.3499999999999996</v>
      </c>
      <c r="G48" s="63">
        <v>4.4000000000000004</v>
      </c>
    </row>
    <row r="49" spans="1:7" x14ac:dyDescent="0.2">
      <c r="A49" s="74">
        <v>28</v>
      </c>
      <c r="B49" s="77" t="s">
        <v>40</v>
      </c>
      <c r="C49" s="61"/>
      <c r="D49" s="61">
        <v>1.3</v>
      </c>
      <c r="E49" s="61">
        <v>1.35</v>
      </c>
      <c r="F49" s="62">
        <v>1.4</v>
      </c>
      <c r="G49" s="63">
        <v>1.4</v>
      </c>
    </row>
    <row r="50" spans="1:7" x14ac:dyDescent="0.2">
      <c r="A50" s="79">
        <v>30</v>
      </c>
      <c r="B50" s="76" t="s">
        <v>41</v>
      </c>
      <c r="C50" s="61"/>
      <c r="D50" s="61">
        <v>2.7</v>
      </c>
      <c r="E50" s="61">
        <v>2.75</v>
      </c>
      <c r="F50" s="62">
        <v>2.75</v>
      </c>
      <c r="G50" s="63">
        <v>2.75</v>
      </c>
    </row>
    <row r="51" spans="1:7" x14ac:dyDescent="0.2">
      <c r="A51" s="74">
        <v>31</v>
      </c>
      <c r="B51" s="60" t="s">
        <v>42</v>
      </c>
      <c r="C51" s="61"/>
      <c r="D51" s="61">
        <v>5</v>
      </c>
      <c r="E51" s="61">
        <v>5.0999999999999996</v>
      </c>
      <c r="F51" s="62">
        <v>5.25</v>
      </c>
      <c r="G51" s="65">
        <v>5.4</v>
      </c>
    </row>
    <row r="52" spans="1:7" x14ac:dyDescent="0.2">
      <c r="A52" s="74"/>
      <c r="B52" s="60" t="s">
        <v>43</v>
      </c>
      <c r="C52" s="66"/>
      <c r="D52" s="66"/>
      <c r="E52" s="66"/>
      <c r="F52" s="67"/>
      <c r="G52" s="63"/>
    </row>
    <row r="53" spans="1:7" x14ac:dyDescent="0.2">
      <c r="A53" s="79">
        <v>32</v>
      </c>
      <c r="B53" s="77" t="s">
        <v>44</v>
      </c>
      <c r="C53" s="61"/>
      <c r="D53" s="61">
        <v>5</v>
      </c>
      <c r="E53" s="61">
        <v>5.0999999999999996</v>
      </c>
      <c r="F53" s="62">
        <v>5.25</v>
      </c>
      <c r="G53" s="63">
        <v>5.4</v>
      </c>
    </row>
    <row r="54" spans="1:7" x14ac:dyDescent="0.2">
      <c r="A54" s="79">
        <v>33</v>
      </c>
      <c r="B54" s="77" t="s">
        <v>45</v>
      </c>
      <c r="C54" s="61"/>
      <c r="D54" s="61">
        <v>5</v>
      </c>
      <c r="E54" s="61">
        <v>5.0999999999999996</v>
      </c>
      <c r="F54" s="62">
        <v>5.25</v>
      </c>
      <c r="G54" s="63">
        <v>5.4</v>
      </c>
    </row>
    <row r="55" spans="1:7" x14ac:dyDescent="0.2">
      <c r="A55" s="74">
        <v>34</v>
      </c>
      <c r="B55" s="60" t="s">
        <v>46</v>
      </c>
      <c r="C55" s="61"/>
      <c r="D55" s="61">
        <v>3.2</v>
      </c>
      <c r="E55" s="61">
        <v>3.3</v>
      </c>
      <c r="F55" s="62">
        <v>3.4</v>
      </c>
      <c r="G55" s="63">
        <v>3.5</v>
      </c>
    </row>
    <row r="56" spans="1:7" x14ac:dyDescent="0.2">
      <c r="A56" s="74">
        <v>35</v>
      </c>
      <c r="B56" s="60" t="s">
        <v>47</v>
      </c>
      <c r="C56" s="61"/>
      <c r="D56" s="61">
        <v>5</v>
      </c>
      <c r="E56" s="61">
        <v>5.0999999999999996</v>
      </c>
      <c r="F56" s="62">
        <v>5.0999999999999996</v>
      </c>
      <c r="G56" s="63">
        <v>5.0999999999999996</v>
      </c>
    </row>
    <row r="57" spans="1:7" x14ac:dyDescent="0.2">
      <c r="A57" s="74">
        <v>36</v>
      </c>
      <c r="B57" s="60" t="s">
        <v>48</v>
      </c>
      <c r="C57" s="61"/>
      <c r="D57" s="61">
        <v>1</v>
      </c>
      <c r="E57" s="61">
        <v>1.05</v>
      </c>
      <c r="F57" s="62">
        <v>1.1000000000000001</v>
      </c>
      <c r="G57" s="63">
        <v>1.1000000000000001</v>
      </c>
    </row>
    <row r="58" spans="1:7" x14ac:dyDescent="0.2">
      <c r="A58" s="74">
        <v>37</v>
      </c>
      <c r="B58" s="60" t="s">
        <v>49</v>
      </c>
      <c r="C58" s="61"/>
      <c r="D58" s="61">
        <v>5</v>
      </c>
      <c r="E58" s="61">
        <v>5.0999999999999996</v>
      </c>
      <c r="F58" s="62">
        <v>5.25</v>
      </c>
      <c r="G58" s="63">
        <v>5.4</v>
      </c>
    </row>
    <row r="59" spans="1:7" x14ac:dyDescent="0.2">
      <c r="A59" s="74">
        <v>38</v>
      </c>
      <c r="B59" s="60" t="s">
        <v>50</v>
      </c>
      <c r="C59" s="61"/>
      <c r="D59" s="61">
        <v>5</v>
      </c>
      <c r="E59" s="61">
        <v>5.0999999999999996</v>
      </c>
      <c r="F59" s="62">
        <v>5.25</v>
      </c>
      <c r="G59" s="63">
        <v>5.4</v>
      </c>
    </row>
    <row r="60" spans="1:7" x14ac:dyDescent="0.2">
      <c r="A60" s="74">
        <v>39</v>
      </c>
      <c r="B60" s="60" t="s">
        <v>51</v>
      </c>
      <c r="C60" s="61"/>
      <c r="D60" s="61">
        <v>0</v>
      </c>
      <c r="E60" s="61">
        <v>0</v>
      </c>
      <c r="F60" s="62">
        <v>0</v>
      </c>
      <c r="G60" s="63">
        <v>0</v>
      </c>
    </row>
    <row r="61" spans="1:7" x14ac:dyDescent="0.2">
      <c r="A61" s="74">
        <v>40</v>
      </c>
      <c r="B61" s="60" t="s">
        <v>52</v>
      </c>
      <c r="C61" s="61"/>
      <c r="D61" s="61">
        <v>5</v>
      </c>
      <c r="E61" s="61">
        <v>5.0999999999999996</v>
      </c>
      <c r="F61" s="62">
        <v>5.25</v>
      </c>
      <c r="G61" s="63">
        <v>5.4</v>
      </c>
    </row>
    <row r="62" spans="1:7" x14ac:dyDescent="0.2">
      <c r="A62" s="74">
        <v>41</v>
      </c>
      <c r="B62" s="60" t="s">
        <v>53</v>
      </c>
      <c r="C62" s="61"/>
      <c r="D62" s="61">
        <v>2</v>
      </c>
      <c r="E62" s="61">
        <v>2.0499999999999998</v>
      </c>
      <c r="F62" s="62">
        <v>2.15</v>
      </c>
      <c r="G62" s="65">
        <v>2.2000000000000002</v>
      </c>
    </row>
    <row r="63" spans="1:7" x14ac:dyDescent="0.2">
      <c r="A63" s="74"/>
      <c r="B63" s="60"/>
      <c r="C63" s="66"/>
      <c r="D63" s="66"/>
      <c r="E63" s="66"/>
      <c r="F63" s="67"/>
      <c r="G63" s="65"/>
    </row>
    <row r="64" spans="1:7" x14ac:dyDescent="0.2">
      <c r="A64" s="74"/>
      <c r="B64" s="60"/>
      <c r="C64" s="66"/>
      <c r="D64" s="66"/>
      <c r="E64" s="66"/>
      <c r="F64" s="67"/>
      <c r="G64" s="81"/>
    </row>
    <row r="65" spans="1:7" x14ac:dyDescent="0.2">
      <c r="A65" s="74"/>
      <c r="B65" s="69" t="s">
        <v>54</v>
      </c>
      <c r="C65" s="61"/>
      <c r="D65" s="61"/>
      <c r="E65" s="61"/>
      <c r="F65" s="82"/>
      <c r="G65" s="63"/>
    </row>
    <row r="66" spans="1:7" x14ac:dyDescent="0.2">
      <c r="A66" s="74">
        <v>42</v>
      </c>
      <c r="B66" s="60" t="s">
        <v>55</v>
      </c>
      <c r="C66" s="61"/>
      <c r="D66" s="61">
        <v>5</v>
      </c>
      <c r="E66" s="61">
        <v>5.0999999999999996</v>
      </c>
      <c r="F66" s="62">
        <v>5.25</v>
      </c>
      <c r="G66" s="63">
        <v>5.4</v>
      </c>
    </row>
    <row r="67" spans="1:7" x14ac:dyDescent="0.2">
      <c r="A67" s="74">
        <v>43</v>
      </c>
      <c r="B67" s="60" t="s">
        <v>56</v>
      </c>
      <c r="C67" s="61"/>
      <c r="D67" s="61">
        <v>5</v>
      </c>
      <c r="E67" s="61">
        <v>5.0999999999999996</v>
      </c>
      <c r="F67" s="62">
        <v>5.25</v>
      </c>
      <c r="G67" s="63">
        <v>5.4</v>
      </c>
    </row>
    <row r="68" spans="1:7" x14ac:dyDescent="0.2">
      <c r="A68" s="74">
        <v>44</v>
      </c>
      <c r="B68" s="60" t="s">
        <v>57</v>
      </c>
      <c r="C68" s="61"/>
      <c r="D68" s="61">
        <v>5</v>
      </c>
      <c r="E68" s="61">
        <v>5.0999999999999996</v>
      </c>
      <c r="F68" s="62">
        <v>5.25</v>
      </c>
      <c r="G68" s="63">
        <v>5.4</v>
      </c>
    </row>
    <row r="69" spans="1:7" x14ac:dyDescent="0.2">
      <c r="A69" s="74">
        <v>45</v>
      </c>
      <c r="B69" s="60" t="s">
        <v>58</v>
      </c>
      <c r="C69" s="61"/>
      <c r="D69" s="61">
        <v>5</v>
      </c>
      <c r="E69" s="61">
        <v>5.0999999999999996</v>
      </c>
      <c r="F69" s="62">
        <v>5.25</v>
      </c>
      <c r="G69" s="65">
        <v>5.4</v>
      </c>
    </row>
    <row r="70" spans="1:7" x14ac:dyDescent="0.2">
      <c r="A70" s="74"/>
      <c r="B70" s="60" t="s">
        <v>59</v>
      </c>
      <c r="C70" s="66"/>
      <c r="D70" s="66"/>
      <c r="E70" s="66"/>
      <c r="F70" s="67"/>
      <c r="G70" s="63"/>
    </row>
    <row r="71" spans="1:7" x14ac:dyDescent="0.2">
      <c r="A71" s="74">
        <v>46</v>
      </c>
      <c r="B71" s="77" t="s">
        <v>60</v>
      </c>
      <c r="C71" s="61"/>
      <c r="D71" s="61">
        <v>5</v>
      </c>
      <c r="E71" s="61">
        <v>5.0999999999999996</v>
      </c>
      <c r="F71" s="62">
        <v>5.25</v>
      </c>
      <c r="G71" s="63">
        <v>5.4</v>
      </c>
    </row>
    <row r="72" spans="1:7" x14ac:dyDescent="0.2">
      <c r="A72" s="74">
        <v>47</v>
      </c>
      <c r="B72" s="77" t="s">
        <v>61</v>
      </c>
      <c r="C72" s="61"/>
      <c r="D72" s="61">
        <v>5</v>
      </c>
      <c r="E72" s="61">
        <v>5.0999999999999996</v>
      </c>
      <c r="F72" s="62">
        <v>5.25</v>
      </c>
      <c r="G72" s="63">
        <v>5.4</v>
      </c>
    </row>
    <row r="73" spans="1:7" x14ac:dyDescent="0.2">
      <c r="A73" s="74">
        <v>48</v>
      </c>
      <c r="B73" s="77" t="s">
        <v>62</v>
      </c>
      <c r="C73" s="61"/>
      <c r="D73" s="61">
        <v>5</v>
      </c>
      <c r="E73" s="61">
        <v>5.0999999999999996</v>
      </c>
      <c r="F73" s="62">
        <v>5.25</v>
      </c>
      <c r="G73" s="63">
        <v>5.4</v>
      </c>
    </row>
    <row r="74" spans="1:7" x14ac:dyDescent="0.2">
      <c r="A74" s="74">
        <v>49</v>
      </c>
      <c r="B74" s="77" t="s">
        <v>63</v>
      </c>
      <c r="C74" s="61"/>
      <c r="D74" s="61">
        <v>5</v>
      </c>
      <c r="E74" s="61">
        <v>5.0999999999999996</v>
      </c>
      <c r="F74" s="62">
        <v>5.25</v>
      </c>
      <c r="G74" s="63">
        <v>5.4</v>
      </c>
    </row>
    <row r="75" spans="1:7" x14ac:dyDescent="0.2">
      <c r="A75" s="74">
        <v>50</v>
      </c>
      <c r="B75" s="77" t="s">
        <v>64</v>
      </c>
      <c r="C75" s="61"/>
      <c r="D75" s="61">
        <v>4.5999999999999996</v>
      </c>
      <c r="E75" s="61">
        <v>4.7</v>
      </c>
      <c r="F75" s="62">
        <v>4.8499999999999996</v>
      </c>
      <c r="G75" s="63">
        <v>4.95</v>
      </c>
    </row>
    <row r="76" spans="1:7" x14ac:dyDescent="0.2">
      <c r="A76" s="74">
        <v>51</v>
      </c>
      <c r="B76" s="60" t="s">
        <v>65</v>
      </c>
      <c r="C76" s="61"/>
      <c r="D76" s="61">
        <v>3</v>
      </c>
      <c r="E76" s="61">
        <v>3.1</v>
      </c>
      <c r="F76" s="62">
        <v>3.2</v>
      </c>
      <c r="G76" s="65">
        <v>3.25</v>
      </c>
    </row>
    <row r="77" spans="1:7" x14ac:dyDescent="0.2">
      <c r="A77" s="74"/>
      <c r="B77" s="60"/>
      <c r="C77" s="66"/>
      <c r="D77" s="66"/>
      <c r="E77" s="66"/>
      <c r="F77" s="67"/>
      <c r="G77" s="65"/>
    </row>
    <row r="78" spans="1:7" x14ac:dyDescent="0.2">
      <c r="A78" s="74"/>
      <c r="B78" s="60"/>
      <c r="C78" s="66"/>
      <c r="D78" s="66"/>
      <c r="E78" s="66"/>
      <c r="F78" s="67"/>
      <c r="G78" s="68"/>
    </row>
    <row r="79" spans="1:7" x14ac:dyDescent="0.2">
      <c r="A79" s="74"/>
      <c r="B79" s="69" t="s">
        <v>66</v>
      </c>
      <c r="C79" s="66"/>
      <c r="D79" s="66"/>
      <c r="E79" s="66"/>
      <c r="F79" s="70"/>
      <c r="G79" s="65"/>
    </row>
    <row r="80" spans="1:7" x14ac:dyDescent="0.2">
      <c r="A80" s="74"/>
      <c r="B80" s="60" t="s">
        <v>67</v>
      </c>
      <c r="C80" s="66"/>
      <c r="D80" s="66"/>
      <c r="E80" s="66"/>
      <c r="F80" s="67"/>
      <c r="G80" s="63"/>
    </row>
    <row r="81" spans="1:7" x14ac:dyDescent="0.2">
      <c r="A81" s="74">
        <v>54</v>
      </c>
      <c r="B81" s="77" t="s">
        <v>68</v>
      </c>
      <c r="C81" s="61"/>
      <c r="D81" s="61">
        <v>1</v>
      </c>
      <c r="E81" s="61">
        <v>1.05</v>
      </c>
      <c r="F81" s="62">
        <v>1.1000000000000001</v>
      </c>
      <c r="G81" s="63">
        <v>1.1000000000000001</v>
      </c>
    </row>
    <row r="82" spans="1:7" x14ac:dyDescent="0.2">
      <c r="A82" s="74">
        <v>56</v>
      </c>
      <c r="B82" s="77" t="s">
        <v>69</v>
      </c>
      <c r="C82" s="61"/>
      <c r="D82" s="61">
        <v>5</v>
      </c>
      <c r="E82" s="61">
        <v>5.0999999999999996</v>
      </c>
      <c r="F82" s="62">
        <v>6.55</v>
      </c>
      <c r="G82" s="63">
        <v>6.7</v>
      </c>
    </row>
    <row r="83" spans="1:7" x14ac:dyDescent="0.2">
      <c r="A83" s="74">
        <v>57</v>
      </c>
      <c r="B83" s="77" t="s">
        <v>70</v>
      </c>
      <c r="C83" s="61">
        <v>4.49</v>
      </c>
      <c r="D83" s="61">
        <v>6.2</v>
      </c>
      <c r="E83" s="61">
        <v>6.35</v>
      </c>
      <c r="F83" s="62">
        <v>6.55</v>
      </c>
      <c r="G83" s="63">
        <v>6.7</v>
      </c>
    </row>
    <row r="84" spans="1:7" x14ac:dyDescent="0.2">
      <c r="A84" s="74">
        <v>59</v>
      </c>
      <c r="B84" s="77" t="s">
        <v>71</v>
      </c>
      <c r="C84" s="61">
        <v>4.49</v>
      </c>
      <c r="D84" s="61">
        <v>6.2</v>
      </c>
      <c r="E84" s="61">
        <v>6.35</v>
      </c>
      <c r="F84" s="62">
        <v>6.55</v>
      </c>
      <c r="G84" s="63">
        <v>6.7</v>
      </c>
    </row>
    <row r="85" spans="1:7" x14ac:dyDescent="0.2">
      <c r="A85" s="74">
        <v>60</v>
      </c>
      <c r="B85" s="77" t="s">
        <v>72</v>
      </c>
      <c r="C85" s="61">
        <v>4.49</v>
      </c>
      <c r="D85" s="61">
        <v>6.2</v>
      </c>
      <c r="E85" s="61">
        <v>6.35</v>
      </c>
      <c r="F85" s="62">
        <v>6.55</v>
      </c>
      <c r="G85" s="63">
        <v>6.7</v>
      </c>
    </row>
    <row r="86" spans="1:7" x14ac:dyDescent="0.2">
      <c r="A86" s="74">
        <v>61</v>
      </c>
      <c r="B86" s="77" t="s">
        <v>73</v>
      </c>
      <c r="C86" s="61"/>
      <c r="D86" s="61">
        <v>2.4</v>
      </c>
      <c r="E86" s="61">
        <v>2.4500000000000002</v>
      </c>
      <c r="F86" s="62">
        <v>2.5499999999999998</v>
      </c>
      <c r="G86" s="63">
        <v>2.6</v>
      </c>
    </row>
    <row r="87" spans="1:7" x14ac:dyDescent="0.2">
      <c r="A87" s="74">
        <v>62</v>
      </c>
      <c r="B87" s="77" t="s">
        <v>74</v>
      </c>
      <c r="C87" s="61">
        <v>4.49</v>
      </c>
      <c r="D87" s="61">
        <v>6.2</v>
      </c>
      <c r="E87" s="61">
        <v>6.35</v>
      </c>
      <c r="F87" s="62">
        <v>6.55</v>
      </c>
      <c r="G87" s="63">
        <v>6.7</v>
      </c>
    </row>
    <row r="88" spans="1:7" x14ac:dyDescent="0.2">
      <c r="A88" s="74"/>
      <c r="B88" s="76" t="s">
        <v>75</v>
      </c>
      <c r="C88" s="61"/>
      <c r="D88" s="61"/>
      <c r="E88" s="61"/>
      <c r="F88" s="62"/>
      <c r="G88" s="63"/>
    </row>
    <row r="89" spans="1:7" x14ac:dyDescent="0.2">
      <c r="A89" s="74">
        <v>58</v>
      </c>
      <c r="B89" s="77" t="s">
        <v>76</v>
      </c>
      <c r="C89" s="61">
        <v>4.49</v>
      </c>
      <c r="D89" s="61">
        <v>6.2</v>
      </c>
      <c r="E89" s="61">
        <v>6.35</v>
      </c>
      <c r="F89" s="62">
        <v>6.55</v>
      </c>
      <c r="G89" s="63">
        <v>6.7</v>
      </c>
    </row>
    <row r="90" spans="1:7" x14ac:dyDescent="0.2">
      <c r="A90" s="74">
        <v>378</v>
      </c>
      <c r="B90" s="77" t="s">
        <v>77</v>
      </c>
      <c r="C90" s="63">
        <v>4.49</v>
      </c>
      <c r="D90" s="63">
        <v>6.2</v>
      </c>
      <c r="E90" s="63">
        <v>6.35</v>
      </c>
      <c r="F90" s="62">
        <v>6.55</v>
      </c>
      <c r="G90" s="63">
        <v>6.7</v>
      </c>
    </row>
    <row r="91" spans="1:7" x14ac:dyDescent="0.2">
      <c r="A91" s="74">
        <v>65</v>
      </c>
      <c r="B91" s="77" t="s">
        <v>78</v>
      </c>
      <c r="C91" s="61"/>
      <c r="D91" s="61">
        <v>5</v>
      </c>
      <c r="E91" s="61">
        <v>5.0999999999999996</v>
      </c>
      <c r="F91" s="62">
        <v>5.25</v>
      </c>
      <c r="G91" s="63">
        <v>5.4</v>
      </c>
    </row>
    <row r="92" spans="1:7" x14ac:dyDescent="0.2">
      <c r="A92" s="74">
        <v>64</v>
      </c>
      <c r="B92" s="77" t="s">
        <v>79</v>
      </c>
      <c r="C92" s="61"/>
      <c r="D92" s="61">
        <v>5</v>
      </c>
      <c r="E92" s="61">
        <v>5.0999999999999996</v>
      </c>
      <c r="F92" s="62">
        <v>5.0999999999999996</v>
      </c>
      <c r="G92" s="65">
        <v>5.0999999999999996</v>
      </c>
    </row>
    <row r="93" spans="1:7" x14ac:dyDescent="0.2">
      <c r="A93" s="74"/>
      <c r="B93" s="60" t="s">
        <v>80</v>
      </c>
      <c r="C93" s="66"/>
      <c r="D93" s="66"/>
      <c r="E93" s="66"/>
      <c r="F93" s="67"/>
      <c r="G93" s="63"/>
    </row>
    <row r="94" spans="1:7" x14ac:dyDescent="0.2">
      <c r="A94" s="74">
        <v>52</v>
      </c>
      <c r="B94" s="77" t="s">
        <v>81</v>
      </c>
      <c r="C94" s="61"/>
      <c r="D94" s="61">
        <v>5</v>
      </c>
      <c r="E94" s="61">
        <v>5.0999999999999996</v>
      </c>
      <c r="F94" s="62">
        <v>5.25</v>
      </c>
      <c r="G94" s="63">
        <v>5.4</v>
      </c>
    </row>
    <row r="95" spans="1:7" x14ac:dyDescent="0.2">
      <c r="A95" s="74">
        <v>53</v>
      </c>
      <c r="B95" s="77" t="s">
        <v>82</v>
      </c>
      <c r="C95" s="61"/>
      <c r="D95" s="61">
        <v>1.1000000000000001</v>
      </c>
      <c r="E95" s="61">
        <v>1.1499999999999999</v>
      </c>
      <c r="F95" s="62">
        <v>1.2</v>
      </c>
      <c r="G95" s="63">
        <v>1.2</v>
      </c>
    </row>
    <row r="96" spans="1:7" x14ac:dyDescent="0.2">
      <c r="A96" s="74">
        <v>55</v>
      </c>
      <c r="B96" s="77" t="s">
        <v>83</v>
      </c>
      <c r="C96" s="61"/>
      <c r="D96" s="61">
        <v>5</v>
      </c>
      <c r="E96" s="61">
        <v>5.0999999999999996</v>
      </c>
      <c r="F96" s="62">
        <v>5.25</v>
      </c>
      <c r="G96" s="63">
        <v>5.4</v>
      </c>
    </row>
    <row r="97" spans="1:7" x14ac:dyDescent="0.2">
      <c r="A97" s="74"/>
      <c r="B97" s="76" t="s">
        <v>84</v>
      </c>
      <c r="C97" s="61"/>
      <c r="D97" s="61"/>
      <c r="E97" s="61"/>
      <c r="F97" s="62"/>
      <c r="G97" s="63"/>
    </row>
    <row r="98" spans="1:7" x14ac:dyDescent="0.2">
      <c r="A98" s="74">
        <v>66</v>
      </c>
      <c r="B98" s="77" t="s">
        <v>85</v>
      </c>
      <c r="C98" s="61"/>
      <c r="D98" s="61" t="s">
        <v>86</v>
      </c>
      <c r="E98" s="61">
        <v>5.0999999999999996</v>
      </c>
      <c r="F98" s="62">
        <v>5.25</v>
      </c>
      <c r="G98" s="63">
        <v>5.4</v>
      </c>
    </row>
    <row r="99" spans="1:7" x14ac:dyDescent="0.2">
      <c r="A99" s="74">
        <v>67</v>
      </c>
      <c r="B99" s="77" t="s">
        <v>87</v>
      </c>
      <c r="C99" s="61">
        <v>149.34</v>
      </c>
      <c r="D99" s="61">
        <v>59</v>
      </c>
      <c r="E99" s="61">
        <v>60.4</v>
      </c>
      <c r="F99" s="62">
        <v>62.2</v>
      </c>
      <c r="G99" s="63">
        <v>63.5</v>
      </c>
    </row>
    <row r="100" spans="1:7" x14ac:dyDescent="0.2">
      <c r="A100" s="74">
        <v>68</v>
      </c>
      <c r="B100" s="77" t="s">
        <v>88</v>
      </c>
      <c r="C100" s="61"/>
      <c r="D100" s="61">
        <v>1.2</v>
      </c>
      <c r="E100" s="61">
        <v>1.25</v>
      </c>
      <c r="F100" s="62">
        <v>1.3</v>
      </c>
      <c r="G100" s="63">
        <v>1.3</v>
      </c>
    </row>
    <row r="101" spans="1:7" x14ac:dyDescent="0.2">
      <c r="A101" s="74">
        <v>63</v>
      </c>
      <c r="B101" s="77" t="s">
        <v>89</v>
      </c>
      <c r="C101" s="61"/>
      <c r="D101" s="61">
        <v>3.3</v>
      </c>
      <c r="E101" s="61">
        <v>3.4</v>
      </c>
      <c r="F101" s="62">
        <v>3.4</v>
      </c>
      <c r="G101" s="65">
        <v>3.4</v>
      </c>
    </row>
    <row r="102" spans="1:7" x14ac:dyDescent="0.2">
      <c r="A102" s="74"/>
      <c r="B102" s="60"/>
      <c r="C102" s="66"/>
      <c r="D102" s="66"/>
      <c r="E102" s="66"/>
      <c r="F102" s="67"/>
      <c r="G102" s="65"/>
    </row>
    <row r="103" spans="1:7" x14ac:dyDescent="0.2">
      <c r="A103" s="74"/>
      <c r="B103" s="60"/>
      <c r="C103" s="66"/>
      <c r="D103" s="66"/>
      <c r="E103" s="66"/>
      <c r="F103" s="67"/>
      <c r="G103" s="68"/>
    </row>
    <row r="104" spans="1:7" x14ac:dyDescent="0.2">
      <c r="A104" s="74"/>
      <c r="B104" s="69" t="s">
        <v>90</v>
      </c>
      <c r="C104" s="66"/>
      <c r="D104" s="66"/>
      <c r="E104" s="66"/>
      <c r="F104" s="70"/>
      <c r="G104" s="65"/>
    </row>
    <row r="105" spans="1:7" x14ac:dyDescent="0.2">
      <c r="A105" s="74"/>
      <c r="B105" s="60" t="s">
        <v>91</v>
      </c>
      <c r="C105" s="66"/>
      <c r="D105" s="66"/>
      <c r="E105" s="66"/>
      <c r="F105" s="67"/>
      <c r="G105" s="63"/>
    </row>
    <row r="106" spans="1:7" x14ac:dyDescent="0.2">
      <c r="A106" s="74">
        <v>69</v>
      </c>
      <c r="B106" s="77" t="s">
        <v>92</v>
      </c>
      <c r="C106" s="61">
        <v>0.75</v>
      </c>
      <c r="D106" s="61">
        <v>1</v>
      </c>
      <c r="E106" s="61">
        <v>1.05</v>
      </c>
      <c r="F106" s="62">
        <v>1.1000000000000001</v>
      </c>
      <c r="G106" s="63">
        <v>1.1000000000000001</v>
      </c>
    </row>
    <row r="107" spans="1:7" x14ac:dyDescent="0.2">
      <c r="A107" s="74">
        <v>70</v>
      </c>
      <c r="B107" s="77" t="s">
        <v>93</v>
      </c>
      <c r="C107" s="61">
        <v>0.75</v>
      </c>
      <c r="D107" s="61">
        <v>1</v>
      </c>
      <c r="E107" s="61">
        <v>1.05</v>
      </c>
      <c r="F107" s="62">
        <v>1.1000000000000001</v>
      </c>
      <c r="G107" s="63">
        <v>1.1000000000000001</v>
      </c>
    </row>
    <row r="108" spans="1:7" x14ac:dyDescent="0.2">
      <c r="A108" s="74"/>
      <c r="B108" s="60" t="s">
        <v>94</v>
      </c>
      <c r="C108" s="61"/>
      <c r="D108" s="61"/>
      <c r="E108" s="61"/>
      <c r="F108" s="62"/>
      <c r="G108" s="63"/>
    </row>
    <row r="109" spans="1:7" x14ac:dyDescent="0.2">
      <c r="A109" s="74">
        <v>379</v>
      </c>
      <c r="B109" s="77" t="s">
        <v>95</v>
      </c>
      <c r="C109" s="63"/>
      <c r="D109" s="63"/>
      <c r="E109" s="63"/>
      <c r="F109" s="83">
        <v>0.9</v>
      </c>
      <c r="G109" s="63">
        <v>0.9</v>
      </c>
    </row>
    <row r="110" spans="1:7" x14ac:dyDescent="0.2">
      <c r="A110" s="74">
        <v>71</v>
      </c>
      <c r="B110" s="77" t="s">
        <v>96</v>
      </c>
      <c r="C110" s="61">
        <v>0.75</v>
      </c>
      <c r="D110" s="61">
        <v>1</v>
      </c>
      <c r="E110" s="61">
        <v>1.05</v>
      </c>
      <c r="F110" s="62">
        <v>1.1000000000000001</v>
      </c>
      <c r="G110" s="63">
        <v>1.1000000000000001</v>
      </c>
    </row>
    <row r="111" spans="1:7" x14ac:dyDescent="0.2">
      <c r="A111" s="74">
        <v>380</v>
      </c>
      <c r="B111" s="76" t="s">
        <v>97</v>
      </c>
      <c r="C111" s="61">
        <v>0.75</v>
      </c>
      <c r="D111" s="61">
        <v>1</v>
      </c>
      <c r="E111" s="61">
        <v>1.05</v>
      </c>
      <c r="F111" s="62">
        <v>3.3</v>
      </c>
      <c r="G111" s="65">
        <v>3.35</v>
      </c>
    </row>
    <row r="112" spans="1:7" x14ac:dyDescent="0.2">
      <c r="A112" s="74"/>
      <c r="B112" s="60"/>
      <c r="C112" s="66"/>
      <c r="D112" s="66"/>
      <c r="E112" s="66"/>
      <c r="F112" s="67"/>
      <c r="G112" s="65"/>
    </row>
    <row r="113" spans="1:7" x14ac:dyDescent="0.2">
      <c r="A113" s="74"/>
      <c r="B113" s="60"/>
      <c r="C113" s="66"/>
      <c r="D113" s="66"/>
      <c r="E113" s="66"/>
      <c r="F113" s="67"/>
      <c r="G113" s="68"/>
    </row>
    <row r="114" spans="1:7" x14ac:dyDescent="0.2">
      <c r="A114" s="74"/>
      <c r="B114" s="69" t="s">
        <v>98</v>
      </c>
      <c r="C114" s="66"/>
      <c r="D114" s="66"/>
      <c r="E114" s="66"/>
      <c r="F114" s="70"/>
      <c r="G114" s="63"/>
    </row>
    <row r="115" spans="1:7" x14ac:dyDescent="0.2">
      <c r="A115" s="74">
        <v>72</v>
      </c>
      <c r="B115" s="60" t="s">
        <v>99</v>
      </c>
      <c r="C115" s="61"/>
      <c r="D115" s="61">
        <v>2.7</v>
      </c>
      <c r="E115" s="61">
        <v>2.75</v>
      </c>
      <c r="F115" s="62">
        <v>2.85</v>
      </c>
      <c r="G115" s="65">
        <v>2.9</v>
      </c>
    </row>
    <row r="116" spans="1:7" x14ac:dyDescent="0.2">
      <c r="A116" s="74"/>
      <c r="B116" s="60" t="s">
        <v>100</v>
      </c>
      <c r="C116" s="66"/>
      <c r="D116" s="66"/>
      <c r="E116" s="66"/>
      <c r="F116" s="67"/>
      <c r="G116" s="63"/>
    </row>
    <row r="117" spans="1:7" x14ac:dyDescent="0.2">
      <c r="A117" s="74">
        <v>73</v>
      </c>
      <c r="B117" s="77" t="s">
        <v>101</v>
      </c>
      <c r="C117" s="61"/>
      <c r="D117" s="61">
        <v>5</v>
      </c>
      <c r="E117" s="61">
        <v>5.0999999999999996</v>
      </c>
      <c r="F117" s="62">
        <v>5.25</v>
      </c>
      <c r="G117" s="63">
        <v>5.4</v>
      </c>
    </row>
    <row r="118" spans="1:7" x14ac:dyDescent="0.2">
      <c r="A118" s="74">
        <v>74</v>
      </c>
      <c r="B118" s="77" t="s">
        <v>102</v>
      </c>
      <c r="C118" s="61"/>
      <c r="D118" s="61">
        <v>5</v>
      </c>
      <c r="E118" s="61">
        <v>5.0999999999999996</v>
      </c>
      <c r="F118" s="62">
        <v>5.25</v>
      </c>
      <c r="G118" s="63">
        <v>5.4</v>
      </c>
    </row>
    <row r="119" spans="1:7" x14ac:dyDescent="0.2">
      <c r="A119" s="74">
        <v>75</v>
      </c>
      <c r="B119" s="77" t="s">
        <v>103</v>
      </c>
      <c r="C119" s="61"/>
      <c r="D119" s="61">
        <v>5</v>
      </c>
      <c r="E119" s="61">
        <v>5.0999999999999996</v>
      </c>
      <c r="F119" s="62">
        <v>5.25</v>
      </c>
      <c r="G119" s="63">
        <v>5.4</v>
      </c>
    </row>
    <row r="120" spans="1:7" x14ac:dyDescent="0.2">
      <c r="A120" s="74">
        <v>76</v>
      </c>
      <c r="B120" s="77" t="s">
        <v>104</v>
      </c>
      <c r="C120" s="61"/>
      <c r="D120" s="61">
        <v>2</v>
      </c>
      <c r="E120" s="61">
        <v>2.0499999999999998</v>
      </c>
      <c r="F120" s="62">
        <v>2.15</v>
      </c>
      <c r="G120" s="63">
        <v>2.2000000000000002</v>
      </c>
    </row>
    <row r="121" spans="1:7" x14ac:dyDescent="0.2">
      <c r="A121" s="74">
        <v>77</v>
      </c>
      <c r="B121" s="60" t="s">
        <v>105</v>
      </c>
      <c r="C121" s="61"/>
      <c r="D121" s="61">
        <v>3.2</v>
      </c>
      <c r="E121" s="61">
        <v>3.3</v>
      </c>
      <c r="F121" s="62">
        <v>3.4</v>
      </c>
      <c r="G121" s="63">
        <v>3.5</v>
      </c>
    </row>
    <row r="122" spans="1:7" x14ac:dyDescent="0.2">
      <c r="A122" s="74">
        <v>78</v>
      </c>
      <c r="B122" s="60" t="s">
        <v>106</v>
      </c>
      <c r="C122" s="61"/>
      <c r="D122" s="61">
        <v>1</v>
      </c>
      <c r="E122" s="61">
        <v>1.05</v>
      </c>
      <c r="F122" s="62">
        <v>1.1000000000000001</v>
      </c>
      <c r="G122" s="63">
        <v>1.1000000000000001</v>
      </c>
    </row>
    <row r="123" spans="1:7" x14ac:dyDescent="0.2">
      <c r="A123" s="74">
        <v>79</v>
      </c>
      <c r="B123" s="60" t="s">
        <v>107</v>
      </c>
      <c r="C123" s="61"/>
      <c r="D123" s="61">
        <v>3</v>
      </c>
      <c r="E123" s="61">
        <v>3.1</v>
      </c>
      <c r="F123" s="62">
        <v>3.2</v>
      </c>
      <c r="G123" s="65">
        <v>3.25</v>
      </c>
    </row>
    <row r="124" spans="1:7" x14ac:dyDescent="0.2">
      <c r="A124" s="74"/>
      <c r="B124" s="60" t="s">
        <v>108</v>
      </c>
      <c r="C124" s="66"/>
      <c r="D124" s="66"/>
      <c r="E124" s="66"/>
      <c r="F124" s="67"/>
      <c r="G124" s="63"/>
    </row>
    <row r="125" spans="1:7" x14ac:dyDescent="0.2">
      <c r="A125" s="74">
        <v>80</v>
      </c>
      <c r="B125" s="77" t="s">
        <v>109</v>
      </c>
      <c r="C125" s="61"/>
      <c r="D125" s="61">
        <v>0</v>
      </c>
      <c r="E125" s="61">
        <v>0</v>
      </c>
      <c r="F125" s="62">
        <v>0</v>
      </c>
      <c r="G125" s="63">
        <v>0</v>
      </c>
    </row>
    <row r="126" spans="1:7" x14ac:dyDescent="0.2">
      <c r="A126" s="74">
        <v>81</v>
      </c>
      <c r="B126" s="77" t="s">
        <v>110</v>
      </c>
      <c r="C126" s="61"/>
      <c r="D126" s="61">
        <v>1</v>
      </c>
      <c r="E126" s="61">
        <v>0</v>
      </c>
      <c r="F126" s="62">
        <v>0</v>
      </c>
      <c r="G126" s="63">
        <v>0</v>
      </c>
    </row>
    <row r="127" spans="1:7" x14ac:dyDescent="0.2">
      <c r="A127" s="74">
        <v>82</v>
      </c>
      <c r="B127" s="77" t="s">
        <v>111</v>
      </c>
      <c r="C127" s="61"/>
      <c r="D127" s="61">
        <v>1.3</v>
      </c>
      <c r="E127" s="61">
        <v>1.35</v>
      </c>
      <c r="F127" s="62">
        <v>1.4</v>
      </c>
      <c r="G127" s="65">
        <v>1.4</v>
      </c>
    </row>
    <row r="128" spans="1:7" x14ac:dyDescent="0.2">
      <c r="A128" s="74"/>
      <c r="B128" s="60"/>
      <c r="C128" s="66"/>
      <c r="D128" s="66"/>
      <c r="E128" s="66"/>
      <c r="F128" s="67"/>
      <c r="G128" s="65"/>
    </row>
    <row r="129" spans="1:7" x14ac:dyDescent="0.2">
      <c r="A129" s="74"/>
      <c r="B129" s="60"/>
      <c r="C129" s="66"/>
      <c r="D129" s="66"/>
      <c r="E129" s="66"/>
      <c r="F129" s="67"/>
      <c r="G129" s="68"/>
    </row>
    <row r="130" spans="1:7" x14ac:dyDescent="0.2">
      <c r="A130" s="74"/>
      <c r="B130" s="69" t="s">
        <v>112</v>
      </c>
      <c r="C130" s="66"/>
      <c r="D130" s="66"/>
      <c r="E130" s="66"/>
      <c r="F130" s="70"/>
      <c r="G130" s="63"/>
    </row>
    <row r="131" spans="1:7" x14ac:dyDescent="0.2">
      <c r="A131" s="74">
        <v>83</v>
      </c>
      <c r="B131" s="60" t="s">
        <v>113</v>
      </c>
      <c r="C131" s="61">
        <v>1.75</v>
      </c>
      <c r="D131" s="61">
        <v>1.7</v>
      </c>
      <c r="E131" s="61">
        <v>1.7</v>
      </c>
      <c r="F131" s="62">
        <v>1.7</v>
      </c>
      <c r="G131" s="63">
        <v>1.7</v>
      </c>
    </row>
    <row r="132" spans="1:7" x14ac:dyDescent="0.2">
      <c r="A132" s="74">
        <v>84</v>
      </c>
      <c r="B132" s="60" t="s">
        <v>114</v>
      </c>
      <c r="C132" s="61">
        <v>1.75</v>
      </c>
      <c r="D132" s="61">
        <v>3</v>
      </c>
      <c r="E132" s="61">
        <v>3.1</v>
      </c>
      <c r="F132" s="62">
        <v>3.2</v>
      </c>
      <c r="G132" s="63">
        <v>3.25</v>
      </c>
    </row>
    <row r="133" spans="1:7" x14ac:dyDescent="0.2">
      <c r="A133" s="74">
        <v>374</v>
      </c>
      <c r="B133" s="60" t="s">
        <v>115</v>
      </c>
      <c r="C133" s="61">
        <v>7.48</v>
      </c>
      <c r="D133" s="61">
        <v>4</v>
      </c>
      <c r="E133" s="61">
        <v>5.0999999999999996</v>
      </c>
      <c r="F133" s="62">
        <v>5.25</v>
      </c>
      <c r="G133" s="63">
        <v>5.4</v>
      </c>
    </row>
    <row r="134" spans="1:7" x14ac:dyDescent="0.2">
      <c r="A134" s="74">
        <v>85</v>
      </c>
      <c r="B134" s="60" t="s">
        <v>116</v>
      </c>
      <c r="C134" s="61">
        <v>3.24</v>
      </c>
      <c r="D134" s="61">
        <v>3.2</v>
      </c>
      <c r="E134" s="61">
        <v>3.3</v>
      </c>
      <c r="F134" s="62">
        <v>3.4</v>
      </c>
      <c r="G134" s="63">
        <v>3.5</v>
      </c>
    </row>
    <row r="135" spans="1:7" x14ac:dyDescent="0.2">
      <c r="A135" s="74">
        <v>86</v>
      </c>
      <c r="B135" s="60" t="s">
        <v>117</v>
      </c>
      <c r="C135" s="61">
        <v>7.48</v>
      </c>
      <c r="D135" s="61">
        <v>7.5</v>
      </c>
      <c r="E135" s="61">
        <v>7.7</v>
      </c>
      <c r="F135" s="62">
        <v>7.95</v>
      </c>
      <c r="G135" s="63">
        <v>8.1</v>
      </c>
    </row>
    <row r="136" spans="1:7" x14ac:dyDescent="0.2">
      <c r="A136" s="74">
        <v>87</v>
      </c>
      <c r="B136" s="60" t="s">
        <v>118</v>
      </c>
      <c r="C136" s="61">
        <v>17.46</v>
      </c>
      <c r="D136" s="61">
        <v>17</v>
      </c>
      <c r="E136" s="61">
        <v>17.399999999999999</v>
      </c>
      <c r="F136" s="62">
        <v>17.899999999999999</v>
      </c>
      <c r="G136" s="63">
        <v>18.3</v>
      </c>
    </row>
    <row r="137" spans="1:7" x14ac:dyDescent="0.2">
      <c r="A137" s="74">
        <v>88</v>
      </c>
      <c r="B137" s="60" t="s">
        <v>119</v>
      </c>
      <c r="C137" s="61">
        <v>49.88</v>
      </c>
      <c r="D137" s="61">
        <v>19</v>
      </c>
      <c r="E137" s="61">
        <v>19.5</v>
      </c>
      <c r="F137" s="62">
        <v>20.100000000000001</v>
      </c>
      <c r="G137" s="63">
        <v>20.5</v>
      </c>
    </row>
    <row r="138" spans="1:7" x14ac:dyDescent="0.2">
      <c r="A138" s="74">
        <v>89</v>
      </c>
      <c r="B138" s="60" t="s">
        <v>120</v>
      </c>
      <c r="C138" s="61">
        <v>14.96</v>
      </c>
      <c r="D138" s="61">
        <v>15</v>
      </c>
      <c r="E138" s="61">
        <v>15.4</v>
      </c>
      <c r="F138" s="62">
        <v>15.85</v>
      </c>
      <c r="G138" s="63">
        <v>16.2</v>
      </c>
    </row>
    <row r="139" spans="1:7" x14ac:dyDescent="0.2">
      <c r="A139" s="74">
        <v>381</v>
      </c>
      <c r="B139" s="60" t="s">
        <v>121</v>
      </c>
      <c r="C139" s="63"/>
      <c r="D139" s="63"/>
      <c r="E139" s="63"/>
      <c r="F139" s="62">
        <v>20</v>
      </c>
      <c r="G139" s="65">
        <v>20.399999999999999</v>
      </c>
    </row>
    <row r="140" spans="1:7" x14ac:dyDescent="0.2">
      <c r="A140" s="74"/>
      <c r="B140" s="60"/>
      <c r="C140" s="66"/>
      <c r="D140" s="66"/>
      <c r="E140" s="66"/>
      <c r="F140" s="67"/>
      <c r="G140" s="65"/>
    </row>
    <row r="141" spans="1:7" x14ac:dyDescent="0.2">
      <c r="A141" s="74"/>
      <c r="B141" s="60"/>
      <c r="C141" s="66"/>
      <c r="D141" s="66"/>
      <c r="E141" s="66"/>
      <c r="F141" s="67"/>
      <c r="G141" s="68"/>
    </row>
    <row r="142" spans="1:7" x14ac:dyDescent="0.2">
      <c r="A142" s="74"/>
      <c r="B142" s="69" t="s">
        <v>122</v>
      </c>
      <c r="C142" s="66"/>
      <c r="D142" s="66"/>
      <c r="E142" s="66"/>
      <c r="F142" s="70"/>
      <c r="G142" s="63"/>
    </row>
    <row r="143" spans="1:7" x14ac:dyDescent="0.2">
      <c r="A143" s="74">
        <v>90</v>
      </c>
      <c r="B143" s="60" t="s">
        <v>123</v>
      </c>
      <c r="C143" s="61">
        <v>0.75</v>
      </c>
      <c r="D143" s="61">
        <v>1</v>
      </c>
      <c r="E143" s="61">
        <v>1.05</v>
      </c>
      <c r="F143" s="62">
        <v>1.1000000000000001</v>
      </c>
      <c r="G143" s="63">
        <v>1.1000000000000001</v>
      </c>
    </row>
    <row r="144" spans="1:7" x14ac:dyDescent="0.2">
      <c r="A144" s="74">
        <v>91</v>
      </c>
      <c r="B144" s="60" t="s">
        <v>124</v>
      </c>
      <c r="C144" s="61">
        <v>0.5</v>
      </c>
      <c r="D144" s="61">
        <v>1</v>
      </c>
      <c r="E144" s="61">
        <v>1.05</v>
      </c>
      <c r="F144" s="62">
        <v>1.1000000000000001</v>
      </c>
      <c r="G144" s="63">
        <v>1.1000000000000001</v>
      </c>
    </row>
    <row r="145" spans="1:7" x14ac:dyDescent="0.2">
      <c r="A145" s="74">
        <v>92</v>
      </c>
      <c r="B145" s="60" t="s">
        <v>125</v>
      </c>
      <c r="C145" s="61"/>
      <c r="D145" s="61">
        <v>5</v>
      </c>
      <c r="E145" s="61">
        <v>5.0999999999999996</v>
      </c>
      <c r="F145" s="62">
        <v>5.25</v>
      </c>
      <c r="G145" s="63">
        <v>5.4</v>
      </c>
    </row>
    <row r="146" spans="1:7" x14ac:dyDescent="0.2">
      <c r="A146" s="74">
        <v>93</v>
      </c>
      <c r="B146" s="60" t="s">
        <v>126</v>
      </c>
      <c r="C146" s="61"/>
      <c r="D146" s="61">
        <v>5</v>
      </c>
      <c r="E146" s="61">
        <v>5.0999999999999996</v>
      </c>
      <c r="F146" s="62">
        <v>5.25</v>
      </c>
      <c r="G146" s="63">
        <v>5.4</v>
      </c>
    </row>
    <row r="147" spans="1:7" x14ac:dyDescent="0.2">
      <c r="A147" s="74"/>
      <c r="B147" s="60" t="s">
        <v>127</v>
      </c>
      <c r="C147" s="61"/>
      <c r="D147" s="61"/>
      <c r="E147" s="61"/>
      <c r="F147" s="62"/>
      <c r="G147" s="63"/>
    </row>
    <row r="148" spans="1:7" x14ac:dyDescent="0.2">
      <c r="A148" s="74">
        <v>94</v>
      </c>
      <c r="B148" s="77" t="s">
        <v>128</v>
      </c>
      <c r="C148" s="61"/>
      <c r="D148" s="61">
        <v>5</v>
      </c>
      <c r="E148" s="61">
        <v>5.0999999999999996</v>
      </c>
      <c r="F148" s="62">
        <v>5.25</v>
      </c>
      <c r="G148" s="63">
        <v>5.4</v>
      </c>
    </row>
    <row r="149" spans="1:7" x14ac:dyDescent="0.2">
      <c r="A149" s="74">
        <v>95</v>
      </c>
      <c r="B149" s="77" t="s">
        <v>129</v>
      </c>
      <c r="C149" s="61"/>
      <c r="D149" s="61">
        <v>5</v>
      </c>
      <c r="E149" s="61">
        <v>5.0999999999999996</v>
      </c>
      <c r="F149" s="62">
        <v>5.25</v>
      </c>
      <c r="G149" s="63">
        <v>5.4</v>
      </c>
    </row>
    <row r="150" spans="1:7" x14ac:dyDescent="0.2">
      <c r="A150" s="74">
        <v>96</v>
      </c>
      <c r="B150" s="77" t="s">
        <v>130</v>
      </c>
      <c r="C150" s="61"/>
      <c r="D150" s="61">
        <v>1.9</v>
      </c>
      <c r="E150" s="61">
        <v>1.95</v>
      </c>
      <c r="F150" s="62">
        <v>2</v>
      </c>
      <c r="G150" s="63">
        <v>2</v>
      </c>
    </row>
    <row r="151" spans="1:7" x14ac:dyDescent="0.2">
      <c r="A151" s="74"/>
      <c r="B151" s="60" t="s">
        <v>131</v>
      </c>
      <c r="C151" s="61"/>
      <c r="D151" s="61"/>
      <c r="E151" s="61"/>
      <c r="F151" s="62"/>
      <c r="G151" s="63"/>
    </row>
    <row r="152" spans="1:7" ht="24" x14ac:dyDescent="0.2">
      <c r="A152" s="74">
        <v>97</v>
      </c>
      <c r="B152" s="84" t="s">
        <v>132</v>
      </c>
      <c r="C152" s="61"/>
      <c r="D152" s="61">
        <v>5</v>
      </c>
      <c r="E152" s="61">
        <v>5.0999999999999996</v>
      </c>
      <c r="F152" s="62">
        <v>5.25</v>
      </c>
      <c r="G152" s="63">
        <v>5.4</v>
      </c>
    </row>
    <row r="153" spans="1:7" x14ac:dyDescent="0.2">
      <c r="A153" s="74">
        <v>98</v>
      </c>
      <c r="B153" s="77" t="s">
        <v>133</v>
      </c>
      <c r="C153" s="61">
        <v>0.75</v>
      </c>
      <c r="D153" s="61">
        <v>1</v>
      </c>
      <c r="E153" s="61">
        <v>1.05</v>
      </c>
      <c r="F153" s="62">
        <v>1.1000000000000001</v>
      </c>
      <c r="G153" s="63">
        <v>1.1000000000000001</v>
      </c>
    </row>
    <row r="154" spans="1:7" x14ac:dyDescent="0.2">
      <c r="A154" s="74">
        <v>99</v>
      </c>
      <c r="B154" s="60" t="s">
        <v>134</v>
      </c>
      <c r="C154" s="61">
        <v>0.25</v>
      </c>
      <c r="D154" s="61">
        <v>1</v>
      </c>
      <c r="E154" s="61">
        <v>1.05</v>
      </c>
      <c r="F154" s="62">
        <v>1.1000000000000001</v>
      </c>
      <c r="G154" s="65">
        <v>1.1000000000000001</v>
      </c>
    </row>
    <row r="155" spans="1:7" x14ac:dyDescent="0.2">
      <c r="A155" s="74"/>
      <c r="B155" s="60"/>
      <c r="C155" s="66"/>
      <c r="D155" s="66"/>
      <c r="E155" s="66"/>
      <c r="F155" s="67"/>
      <c r="G155" s="65"/>
    </row>
    <row r="156" spans="1:7" x14ac:dyDescent="0.2">
      <c r="A156" s="74"/>
      <c r="B156" s="60"/>
      <c r="C156" s="66"/>
      <c r="D156" s="66"/>
      <c r="E156" s="66"/>
      <c r="F156" s="67"/>
      <c r="G156" s="68"/>
    </row>
    <row r="157" spans="1:7" x14ac:dyDescent="0.2">
      <c r="A157" s="74"/>
      <c r="B157" s="69" t="s">
        <v>135</v>
      </c>
      <c r="C157" s="66"/>
      <c r="D157" s="66"/>
      <c r="E157" s="66"/>
      <c r="F157" s="70"/>
      <c r="G157" s="63"/>
    </row>
    <row r="158" spans="1:7" x14ac:dyDescent="0.2">
      <c r="A158" s="74">
        <v>100</v>
      </c>
      <c r="B158" s="60" t="s">
        <v>136</v>
      </c>
      <c r="C158" s="61"/>
      <c r="D158" s="61">
        <v>5</v>
      </c>
      <c r="E158" s="61">
        <v>5.0999999999999996</v>
      </c>
      <c r="F158" s="62">
        <v>5.25</v>
      </c>
      <c r="G158" s="63">
        <v>5.4</v>
      </c>
    </row>
    <row r="159" spans="1:7" x14ac:dyDescent="0.2">
      <c r="A159" s="74">
        <v>101</v>
      </c>
      <c r="B159" s="60" t="s">
        <v>137</v>
      </c>
      <c r="C159" s="61"/>
      <c r="D159" s="61">
        <v>5</v>
      </c>
      <c r="E159" s="61">
        <v>5.0999999999999996</v>
      </c>
      <c r="F159" s="62">
        <v>5.25</v>
      </c>
      <c r="G159" s="63">
        <v>5.4</v>
      </c>
    </row>
    <row r="160" spans="1:7" x14ac:dyDescent="0.2">
      <c r="A160" s="74">
        <v>102</v>
      </c>
      <c r="B160" s="60" t="s">
        <v>138</v>
      </c>
      <c r="C160" s="61"/>
      <c r="D160" s="61">
        <v>5</v>
      </c>
      <c r="E160" s="61">
        <v>5.0999999999999996</v>
      </c>
      <c r="F160" s="62">
        <v>5.25</v>
      </c>
      <c r="G160" s="63">
        <v>5.4</v>
      </c>
    </row>
    <row r="161" spans="1:7" x14ac:dyDescent="0.2">
      <c r="A161" s="74">
        <v>103</v>
      </c>
      <c r="B161" s="60" t="s">
        <v>139</v>
      </c>
      <c r="C161" s="61"/>
      <c r="D161" s="61">
        <v>5</v>
      </c>
      <c r="E161" s="61">
        <v>5.0999999999999996</v>
      </c>
      <c r="F161" s="62">
        <v>5.25</v>
      </c>
      <c r="G161" s="63">
        <v>5.4</v>
      </c>
    </row>
    <row r="162" spans="1:7" x14ac:dyDescent="0.2">
      <c r="A162" s="74">
        <v>104</v>
      </c>
      <c r="B162" s="60" t="s">
        <v>140</v>
      </c>
      <c r="C162" s="61"/>
      <c r="D162" s="61">
        <v>4.7</v>
      </c>
      <c r="E162" s="61">
        <v>4.8</v>
      </c>
      <c r="F162" s="62">
        <v>4.95</v>
      </c>
      <c r="G162" s="86">
        <v>5.05</v>
      </c>
    </row>
    <row r="163" spans="1:7" x14ac:dyDescent="0.2">
      <c r="A163" s="74">
        <v>105</v>
      </c>
      <c r="B163" s="60" t="s">
        <v>141</v>
      </c>
      <c r="C163" s="61"/>
      <c r="D163" s="61">
        <v>1.5</v>
      </c>
      <c r="E163" s="61">
        <v>1.55</v>
      </c>
      <c r="F163" s="62">
        <v>1.55</v>
      </c>
      <c r="G163" s="63">
        <v>1.55</v>
      </c>
    </row>
    <row r="164" spans="1:7" x14ac:dyDescent="0.2">
      <c r="A164" s="74">
        <v>106</v>
      </c>
      <c r="B164" s="60" t="s">
        <v>142</v>
      </c>
      <c r="C164" s="61">
        <v>0.75</v>
      </c>
      <c r="D164" s="61">
        <v>1</v>
      </c>
      <c r="E164" s="61">
        <v>1.55</v>
      </c>
      <c r="F164" s="62">
        <v>1.55</v>
      </c>
      <c r="G164" s="65">
        <v>1.55</v>
      </c>
    </row>
    <row r="165" spans="1:7" x14ac:dyDescent="0.2">
      <c r="A165" s="74"/>
      <c r="B165" s="60"/>
      <c r="C165" s="66"/>
      <c r="D165" s="66"/>
      <c r="E165" s="66"/>
      <c r="F165" s="67"/>
      <c r="G165" s="65"/>
    </row>
    <row r="166" spans="1:7" x14ac:dyDescent="0.2">
      <c r="A166" s="74"/>
      <c r="B166" s="60"/>
      <c r="C166" s="66"/>
      <c r="D166" s="66"/>
      <c r="E166" s="66"/>
      <c r="F166" s="67"/>
      <c r="G166" s="81"/>
    </row>
    <row r="167" spans="1:7" x14ac:dyDescent="0.2">
      <c r="A167" s="74"/>
      <c r="B167" s="69" t="s">
        <v>143</v>
      </c>
      <c r="C167" s="61"/>
      <c r="D167" s="61"/>
      <c r="E167" s="61"/>
      <c r="F167" s="82"/>
      <c r="G167" s="63"/>
    </row>
    <row r="168" spans="1:7" x14ac:dyDescent="0.2">
      <c r="A168" s="74">
        <v>107</v>
      </c>
      <c r="B168" s="60" t="s">
        <v>144</v>
      </c>
      <c r="C168" s="61">
        <v>0.5</v>
      </c>
      <c r="D168" s="61">
        <v>1</v>
      </c>
      <c r="E168" s="61">
        <v>1.05</v>
      </c>
      <c r="F168" s="62">
        <v>1.1000000000000001</v>
      </c>
      <c r="G168" s="65">
        <v>1.1000000000000001</v>
      </c>
    </row>
    <row r="169" spans="1:7" x14ac:dyDescent="0.2">
      <c r="A169" s="74"/>
      <c r="B169" s="60" t="s">
        <v>145</v>
      </c>
      <c r="C169" s="66"/>
      <c r="D169" s="66"/>
      <c r="E169" s="66"/>
      <c r="F169" s="70"/>
      <c r="G169" s="63"/>
    </row>
    <row r="170" spans="1:7" x14ac:dyDescent="0.2">
      <c r="A170" s="74">
        <v>108</v>
      </c>
      <c r="B170" s="77" t="s">
        <v>146</v>
      </c>
      <c r="C170" s="61">
        <v>0.5</v>
      </c>
      <c r="D170" s="61">
        <v>5</v>
      </c>
      <c r="E170" s="61">
        <v>5.0999999999999996</v>
      </c>
      <c r="F170" s="62">
        <v>5.25</v>
      </c>
      <c r="G170" s="63">
        <v>5.4</v>
      </c>
    </row>
    <row r="171" spans="1:7" x14ac:dyDescent="0.2">
      <c r="A171" s="74">
        <v>118</v>
      </c>
      <c r="B171" s="77" t="s">
        <v>147</v>
      </c>
      <c r="C171" s="61">
        <v>0.5</v>
      </c>
      <c r="D171" s="61">
        <v>1</v>
      </c>
      <c r="E171" s="61">
        <v>1</v>
      </c>
      <c r="F171" s="62">
        <v>1.05</v>
      </c>
      <c r="G171" s="65">
        <v>1.05</v>
      </c>
    </row>
    <row r="172" spans="1:7" x14ac:dyDescent="0.2">
      <c r="A172" s="74"/>
      <c r="B172" s="60"/>
      <c r="C172" s="66"/>
      <c r="D172" s="66"/>
      <c r="E172" s="66"/>
      <c r="F172" s="67"/>
      <c r="G172" s="65"/>
    </row>
    <row r="173" spans="1:7" x14ac:dyDescent="0.2">
      <c r="A173" s="74"/>
      <c r="B173" s="60"/>
      <c r="C173" s="66"/>
      <c r="D173" s="66"/>
      <c r="E173" s="66"/>
      <c r="F173" s="67"/>
      <c r="G173" s="68"/>
    </row>
    <row r="174" spans="1:7" x14ac:dyDescent="0.2">
      <c r="A174" s="74"/>
      <c r="B174" s="69" t="s">
        <v>148</v>
      </c>
      <c r="C174" s="66"/>
      <c r="D174" s="66"/>
      <c r="E174" s="66"/>
      <c r="F174" s="70"/>
      <c r="G174" s="63"/>
    </row>
    <row r="175" spans="1:7" x14ac:dyDescent="0.2">
      <c r="A175" s="74">
        <v>119</v>
      </c>
      <c r="B175" s="85" t="s">
        <v>149</v>
      </c>
      <c r="C175" s="61">
        <v>1</v>
      </c>
      <c r="D175" s="61">
        <v>1.3</v>
      </c>
      <c r="E175" s="61">
        <v>1.35</v>
      </c>
      <c r="F175" s="62">
        <v>1.4</v>
      </c>
      <c r="G175" s="63">
        <v>1.4</v>
      </c>
    </row>
    <row r="176" spans="1:7" x14ac:dyDescent="0.2">
      <c r="A176" s="74">
        <v>122</v>
      </c>
      <c r="B176" s="85" t="s">
        <v>150</v>
      </c>
      <c r="C176" s="61">
        <v>4.49</v>
      </c>
      <c r="D176" s="61">
        <v>6.2</v>
      </c>
      <c r="E176" s="61">
        <v>6.35</v>
      </c>
      <c r="F176" s="62">
        <v>6.55</v>
      </c>
      <c r="G176" s="63">
        <v>6.7</v>
      </c>
    </row>
    <row r="177" spans="1:7" x14ac:dyDescent="0.2">
      <c r="A177" s="74">
        <v>123</v>
      </c>
      <c r="B177" s="85" t="s">
        <v>151</v>
      </c>
      <c r="C177" s="61">
        <v>4.49</v>
      </c>
      <c r="D177" s="61">
        <v>6.2</v>
      </c>
      <c r="E177" s="61">
        <v>6.35</v>
      </c>
      <c r="F177" s="62">
        <v>6.55</v>
      </c>
      <c r="G177" s="63">
        <v>6.7</v>
      </c>
    </row>
    <row r="178" spans="1:7" x14ac:dyDescent="0.2">
      <c r="A178" s="74">
        <v>134</v>
      </c>
      <c r="B178" s="85" t="s">
        <v>152</v>
      </c>
      <c r="C178" s="61">
        <v>4.49</v>
      </c>
      <c r="D178" s="61">
        <v>6.2</v>
      </c>
      <c r="E178" s="61">
        <v>6.35</v>
      </c>
      <c r="F178" s="62">
        <v>6.55</v>
      </c>
      <c r="G178" s="63">
        <v>6.7</v>
      </c>
    </row>
    <row r="179" spans="1:7" x14ac:dyDescent="0.2">
      <c r="A179" s="74">
        <v>137</v>
      </c>
      <c r="B179" s="85" t="s">
        <v>153</v>
      </c>
      <c r="C179" s="61">
        <v>4.49</v>
      </c>
      <c r="D179" s="61">
        <v>6.2</v>
      </c>
      <c r="E179" s="61">
        <v>6.35</v>
      </c>
      <c r="F179" s="62">
        <v>6.55</v>
      </c>
      <c r="G179" s="63">
        <v>6.7</v>
      </c>
    </row>
    <row r="180" spans="1:7" x14ac:dyDescent="0.2">
      <c r="A180" s="74">
        <v>139</v>
      </c>
      <c r="B180" s="85" t="s">
        <v>154</v>
      </c>
      <c r="C180" s="61">
        <v>4.49</v>
      </c>
      <c r="D180" s="61">
        <v>6.2</v>
      </c>
      <c r="E180" s="61">
        <v>6.35</v>
      </c>
      <c r="F180" s="62">
        <v>6.55</v>
      </c>
      <c r="G180" s="63">
        <v>6.7</v>
      </c>
    </row>
    <row r="181" spans="1:7" x14ac:dyDescent="0.2">
      <c r="A181" s="74">
        <v>140</v>
      </c>
      <c r="B181" s="85" t="s">
        <v>155</v>
      </c>
      <c r="C181" s="61">
        <v>4.49</v>
      </c>
      <c r="D181" s="61">
        <v>6.2</v>
      </c>
      <c r="E181" s="61">
        <v>6.35</v>
      </c>
      <c r="F181" s="62">
        <v>6.55</v>
      </c>
      <c r="G181" s="63">
        <v>6.7</v>
      </c>
    </row>
    <row r="182" spans="1:7" x14ac:dyDescent="0.2">
      <c r="A182" s="74">
        <v>141</v>
      </c>
      <c r="B182" s="85" t="s">
        <v>156</v>
      </c>
      <c r="C182" s="61">
        <v>4.49</v>
      </c>
      <c r="D182" s="61">
        <v>6.2</v>
      </c>
      <c r="E182" s="61">
        <v>6.35</v>
      </c>
      <c r="F182" s="62">
        <v>6.55</v>
      </c>
      <c r="G182" s="63">
        <v>6.7</v>
      </c>
    </row>
    <row r="183" spans="1:7" x14ac:dyDescent="0.2">
      <c r="A183" s="74">
        <v>144</v>
      </c>
      <c r="B183" s="85" t="s">
        <v>157</v>
      </c>
      <c r="C183" s="61">
        <v>1.75</v>
      </c>
      <c r="D183" s="61">
        <v>2.4</v>
      </c>
      <c r="E183" s="61">
        <v>2.4500000000000002</v>
      </c>
      <c r="F183" s="62">
        <v>2.5499999999999998</v>
      </c>
      <c r="G183" s="63">
        <v>2.6</v>
      </c>
    </row>
    <row r="184" spans="1:7" x14ac:dyDescent="0.2">
      <c r="A184" s="74">
        <v>146</v>
      </c>
      <c r="B184" s="85" t="s">
        <v>158</v>
      </c>
      <c r="C184" s="61">
        <v>4.49</v>
      </c>
      <c r="D184" s="61">
        <v>6.2</v>
      </c>
      <c r="E184" s="61">
        <v>6.35</v>
      </c>
      <c r="F184" s="62">
        <v>6.55</v>
      </c>
      <c r="G184" s="63">
        <v>6.7</v>
      </c>
    </row>
    <row r="185" spans="1:7" x14ac:dyDescent="0.2">
      <c r="A185" s="74">
        <v>147</v>
      </c>
      <c r="B185" s="85" t="s">
        <v>159</v>
      </c>
      <c r="C185" s="61">
        <v>4.49</v>
      </c>
      <c r="D185" s="61">
        <v>6.2</v>
      </c>
      <c r="E185" s="61">
        <v>6.35</v>
      </c>
      <c r="F185" s="62">
        <v>6.55</v>
      </c>
      <c r="G185" s="63">
        <v>6.7</v>
      </c>
    </row>
    <row r="186" spans="1:7" x14ac:dyDescent="0.2">
      <c r="A186" s="74">
        <v>382</v>
      </c>
      <c r="B186" s="85" t="s">
        <v>160</v>
      </c>
      <c r="C186" s="63"/>
      <c r="D186" s="63"/>
      <c r="E186" s="63"/>
      <c r="F186" s="62">
        <v>5.25</v>
      </c>
      <c r="G186" s="63">
        <v>5.4</v>
      </c>
    </row>
    <row r="187" spans="1:7" x14ac:dyDescent="0.2">
      <c r="A187" s="74"/>
      <c r="B187" s="60"/>
      <c r="C187" s="61"/>
      <c r="D187" s="61"/>
      <c r="E187" s="61"/>
      <c r="F187" s="62"/>
      <c r="G187" s="65"/>
    </row>
    <row r="188" spans="1:7" x14ac:dyDescent="0.2">
      <c r="A188" s="74"/>
      <c r="B188" s="60"/>
      <c r="C188" s="66"/>
      <c r="D188" s="66"/>
      <c r="E188" s="66"/>
      <c r="F188" s="67"/>
      <c r="G188" s="68"/>
    </row>
    <row r="189" spans="1:7" x14ac:dyDescent="0.2">
      <c r="A189" s="74"/>
      <c r="B189" s="69" t="s">
        <v>161</v>
      </c>
      <c r="C189" s="66"/>
      <c r="D189" s="66"/>
      <c r="E189" s="66"/>
      <c r="F189" s="70"/>
      <c r="G189" s="63"/>
    </row>
    <row r="190" spans="1:7" x14ac:dyDescent="0.2">
      <c r="A190" s="74">
        <v>383</v>
      </c>
      <c r="B190" s="60" t="s">
        <v>162</v>
      </c>
      <c r="C190" s="61">
        <v>4.49</v>
      </c>
      <c r="D190" s="61">
        <v>6.2</v>
      </c>
      <c r="E190" s="61">
        <v>6.35</v>
      </c>
      <c r="F190" s="62">
        <v>6.55</v>
      </c>
      <c r="G190" s="63">
        <v>6.7</v>
      </c>
    </row>
    <row r="191" spans="1:7" x14ac:dyDescent="0.2">
      <c r="A191" s="74">
        <v>153</v>
      </c>
      <c r="B191" s="60" t="s">
        <v>163</v>
      </c>
      <c r="C191" s="61">
        <v>7.48</v>
      </c>
      <c r="D191" s="61">
        <v>9.6999999999999993</v>
      </c>
      <c r="E191" s="61">
        <v>9.9499999999999993</v>
      </c>
      <c r="F191" s="62">
        <v>10.25</v>
      </c>
      <c r="G191" s="63">
        <v>10.5</v>
      </c>
    </row>
    <row r="192" spans="1:7" x14ac:dyDescent="0.2">
      <c r="A192" s="74">
        <v>384</v>
      </c>
      <c r="B192" s="60" t="s">
        <v>164</v>
      </c>
      <c r="C192" s="61"/>
      <c r="D192" s="61"/>
      <c r="E192" s="61"/>
      <c r="F192" s="62">
        <v>6.55</v>
      </c>
      <c r="G192" s="63">
        <v>6.7</v>
      </c>
    </row>
    <row r="193" spans="1:7" x14ac:dyDescent="0.2">
      <c r="A193" s="74"/>
      <c r="B193" s="60" t="s">
        <v>165</v>
      </c>
      <c r="C193" s="61"/>
      <c r="D193" s="61"/>
      <c r="E193" s="61"/>
      <c r="F193" s="62"/>
      <c r="G193" s="63"/>
    </row>
    <row r="194" spans="1:7" x14ac:dyDescent="0.2">
      <c r="A194" s="74">
        <v>158</v>
      </c>
      <c r="B194" s="77" t="s">
        <v>166</v>
      </c>
      <c r="C194" s="61">
        <v>7.48</v>
      </c>
      <c r="D194" s="61">
        <v>5.5</v>
      </c>
      <c r="E194" s="61">
        <v>5.65</v>
      </c>
      <c r="F194" s="62">
        <v>7.5</v>
      </c>
      <c r="G194" s="63">
        <v>7.7</v>
      </c>
    </row>
    <row r="195" spans="1:7" x14ac:dyDescent="0.2">
      <c r="A195" s="74">
        <v>159</v>
      </c>
      <c r="B195" s="77" t="s">
        <v>167</v>
      </c>
      <c r="C195" s="61">
        <v>7.48</v>
      </c>
      <c r="D195" s="61">
        <v>10.3</v>
      </c>
      <c r="E195" s="61">
        <v>10.55</v>
      </c>
      <c r="F195" s="62">
        <v>10.85</v>
      </c>
      <c r="G195" s="63">
        <v>11.1</v>
      </c>
    </row>
    <row r="196" spans="1:7" x14ac:dyDescent="0.2">
      <c r="A196" s="74"/>
      <c r="B196" s="60" t="s">
        <v>168</v>
      </c>
      <c r="C196" s="61"/>
      <c r="D196" s="61"/>
      <c r="E196" s="61"/>
      <c r="F196" s="62"/>
      <c r="G196" s="63"/>
    </row>
    <row r="197" spans="1:7" x14ac:dyDescent="0.2">
      <c r="A197" s="74">
        <v>160</v>
      </c>
      <c r="B197" s="77" t="s">
        <v>169</v>
      </c>
      <c r="C197" s="61"/>
      <c r="D197" s="61">
        <v>4.9000000000000004</v>
      </c>
      <c r="E197" s="61">
        <v>5</v>
      </c>
      <c r="F197" s="62">
        <v>5.15</v>
      </c>
      <c r="G197" s="63">
        <v>5.3</v>
      </c>
    </row>
    <row r="198" spans="1:7" x14ac:dyDescent="0.2">
      <c r="A198" s="74">
        <v>161</v>
      </c>
      <c r="B198" s="77" t="s">
        <v>170</v>
      </c>
      <c r="C198" s="61"/>
      <c r="D198" s="61">
        <v>5</v>
      </c>
      <c r="E198" s="61">
        <v>5.0999999999999996</v>
      </c>
      <c r="F198" s="62">
        <v>5.25</v>
      </c>
      <c r="G198" s="63">
        <v>5.4</v>
      </c>
    </row>
    <row r="199" spans="1:7" x14ac:dyDescent="0.2">
      <c r="A199" s="74">
        <v>166</v>
      </c>
      <c r="B199" s="60" t="s">
        <v>171</v>
      </c>
      <c r="C199" s="61"/>
      <c r="D199" s="61">
        <v>5</v>
      </c>
      <c r="E199" s="61">
        <v>5.0999999999999996</v>
      </c>
      <c r="F199" s="62">
        <v>5.25</v>
      </c>
      <c r="G199" s="63">
        <v>5.4</v>
      </c>
    </row>
    <row r="200" spans="1:7" x14ac:dyDescent="0.2">
      <c r="A200" s="74"/>
      <c r="B200" s="60"/>
      <c r="C200" s="61"/>
      <c r="D200" s="61"/>
      <c r="E200" s="61"/>
      <c r="F200" s="62"/>
      <c r="G200" s="63"/>
    </row>
    <row r="201" spans="1:7" x14ac:dyDescent="0.2">
      <c r="A201" s="74"/>
      <c r="B201" s="60"/>
      <c r="C201" s="61"/>
      <c r="D201" s="61"/>
      <c r="E201" s="61"/>
      <c r="F201" s="62"/>
      <c r="G201" s="81"/>
    </row>
    <row r="202" spans="1:7" x14ac:dyDescent="0.2">
      <c r="A202" s="74"/>
      <c r="B202" s="69" t="s">
        <v>172</v>
      </c>
      <c r="C202" s="61"/>
      <c r="D202" s="61"/>
      <c r="E202" s="61"/>
      <c r="F202" s="82"/>
      <c r="G202" s="63"/>
    </row>
    <row r="203" spans="1:7" x14ac:dyDescent="0.2">
      <c r="A203" s="74">
        <v>167</v>
      </c>
      <c r="B203" s="60" t="s">
        <v>173</v>
      </c>
      <c r="C203" s="61"/>
      <c r="D203" s="61">
        <v>5</v>
      </c>
      <c r="E203" s="61">
        <v>5.0999999999999996</v>
      </c>
      <c r="F203" s="62">
        <v>5.25</v>
      </c>
      <c r="G203" s="63">
        <v>5.4</v>
      </c>
    </row>
    <row r="204" spans="1:7" x14ac:dyDescent="0.2">
      <c r="A204" s="74">
        <v>168</v>
      </c>
      <c r="B204" s="60" t="s">
        <v>174</v>
      </c>
      <c r="C204" s="61"/>
      <c r="D204" s="61">
        <v>5</v>
      </c>
      <c r="E204" s="61">
        <v>5.0999999999999996</v>
      </c>
      <c r="F204" s="62">
        <v>5.25</v>
      </c>
      <c r="G204" s="63">
        <v>5.4</v>
      </c>
    </row>
    <row r="205" spans="1:7" x14ac:dyDescent="0.2">
      <c r="A205" s="74">
        <v>169</v>
      </c>
      <c r="B205" s="60" t="s">
        <v>175</v>
      </c>
      <c r="C205" s="61"/>
      <c r="D205" s="61">
        <v>5</v>
      </c>
      <c r="E205" s="61">
        <v>5.0999999999999996</v>
      </c>
      <c r="F205" s="62">
        <v>5.25</v>
      </c>
      <c r="G205" s="63">
        <v>5.4</v>
      </c>
    </row>
    <row r="206" spans="1:7" x14ac:dyDescent="0.2">
      <c r="A206" s="74">
        <v>171</v>
      </c>
      <c r="B206" s="60" t="s">
        <v>176</v>
      </c>
      <c r="C206" s="61">
        <v>7.48</v>
      </c>
      <c r="D206" s="61">
        <v>10.4</v>
      </c>
      <c r="E206" s="61">
        <v>10.65</v>
      </c>
      <c r="F206" s="62">
        <v>11</v>
      </c>
      <c r="G206" s="63">
        <v>11.2</v>
      </c>
    </row>
    <row r="207" spans="1:7" x14ac:dyDescent="0.2">
      <c r="A207" s="74">
        <v>172</v>
      </c>
      <c r="B207" s="60" t="s">
        <v>177</v>
      </c>
      <c r="C207" s="61"/>
      <c r="D207" s="61">
        <v>5</v>
      </c>
      <c r="E207" s="61">
        <v>5.0999999999999996</v>
      </c>
      <c r="F207" s="62">
        <v>5.25</v>
      </c>
      <c r="G207" s="63">
        <v>5.4</v>
      </c>
    </row>
    <row r="208" spans="1:7" x14ac:dyDescent="0.2">
      <c r="A208" s="74">
        <v>173</v>
      </c>
      <c r="B208" s="60" t="s">
        <v>178</v>
      </c>
      <c r="C208" s="61"/>
      <c r="D208" s="61">
        <v>5</v>
      </c>
      <c r="E208" s="61">
        <v>5.0999999999999996</v>
      </c>
      <c r="F208" s="62">
        <v>5.25</v>
      </c>
      <c r="G208" s="63">
        <v>5.4</v>
      </c>
    </row>
    <row r="209" spans="1:7" x14ac:dyDescent="0.2">
      <c r="A209" s="74">
        <v>174</v>
      </c>
      <c r="B209" s="60" t="s">
        <v>179</v>
      </c>
      <c r="C209" s="61">
        <v>7.48</v>
      </c>
      <c r="D209" s="61">
        <v>8.6999999999999993</v>
      </c>
      <c r="E209" s="61">
        <v>8.9</v>
      </c>
      <c r="F209" s="62">
        <v>8.9</v>
      </c>
      <c r="G209" s="63">
        <v>8.9</v>
      </c>
    </row>
    <row r="210" spans="1:7" x14ac:dyDescent="0.2">
      <c r="A210" s="74">
        <v>175</v>
      </c>
      <c r="B210" s="60" t="s">
        <v>180</v>
      </c>
      <c r="C210" s="61">
        <v>4.49</v>
      </c>
      <c r="D210" s="61">
        <v>6.2</v>
      </c>
      <c r="E210" s="61">
        <v>6.35</v>
      </c>
      <c r="F210" s="62">
        <v>6.55</v>
      </c>
      <c r="G210" s="63">
        <v>6.7</v>
      </c>
    </row>
    <row r="211" spans="1:7" x14ac:dyDescent="0.2">
      <c r="A211" s="74">
        <v>176</v>
      </c>
      <c r="B211" s="60" t="s">
        <v>181</v>
      </c>
      <c r="C211" s="61"/>
      <c r="D211" s="61">
        <v>5</v>
      </c>
      <c r="E211" s="61">
        <v>5.0999999999999996</v>
      </c>
      <c r="F211" s="62">
        <v>5.25</v>
      </c>
      <c r="G211" s="63">
        <v>5.4</v>
      </c>
    </row>
    <row r="212" spans="1:7" ht="24" x14ac:dyDescent="0.2">
      <c r="A212" s="74">
        <v>177</v>
      </c>
      <c r="B212" s="60" t="s">
        <v>182</v>
      </c>
      <c r="C212" s="61"/>
      <c r="D212" s="61">
        <v>5</v>
      </c>
      <c r="E212" s="61">
        <v>5.0999999999999996</v>
      </c>
      <c r="F212" s="62">
        <v>5.25</v>
      </c>
      <c r="G212" s="63">
        <v>5.4</v>
      </c>
    </row>
    <row r="213" spans="1:7" x14ac:dyDescent="0.2">
      <c r="A213" s="74">
        <v>178</v>
      </c>
      <c r="B213" s="60" t="s">
        <v>183</v>
      </c>
      <c r="C213" s="61"/>
      <c r="D213" s="61">
        <v>5</v>
      </c>
      <c r="E213" s="61">
        <v>5.0999999999999996</v>
      </c>
      <c r="F213" s="62">
        <v>5.25</v>
      </c>
      <c r="G213" s="63">
        <v>5.4</v>
      </c>
    </row>
    <row r="214" spans="1:7" x14ac:dyDescent="0.2">
      <c r="A214" s="74">
        <v>180</v>
      </c>
      <c r="B214" s="60" t="s">
        <v>184</v>
      </c>
      <c r="C214" s="61">
        <v>3.24</v>
      </c>
      <c r="D214" s="61">
        <v>4.2</v>
      </c>
      <c r="E214" s="61">
        <v>4.3</v>
      </c>
      <c r="F214" s="62">
        <v>4.3</v>
      </c>
      <c r="G214" s="63">
        <v>4.3</v>
      </c>
    </row>
    <row r="215" spans="1:7" x14ac:dyDescent="0.2">
      <c r="A215" s="74">
        <v>181</v>
      </c>
      <c r="B215" s="60" t="s">
        <v>185</v>
      </c>
      <c r="C215" s="61">
        <v>3.34</v>
      </c>
      <c r="D215" s="61">
        <v>3.4</v>
      </c>
      <c r="E215" s="61">
        <v>3.5</v>
      </c>
      <c r="F215" s="62">
        <v>3.5</v>
      </c>
      <c r="G215" s="63">
        <v>3.5</v>
      </c>
    </row>
    <row r="216" spans="1:7" x14ac:dyDescent="0.2">
      <c r="A216" s="74">
        <v>182</v>
      </c>
      <c r="B216" s="60" t="s">
        <v>186</v>
      </c>
      <c r="C216" s="61"/>
      <c r="D216" s="61">
        <v>3</v>
      </c>
      <c r="E216" s="61">
        <v>3.1</v>
      </c>
      <c r="F216" s="62">
        <v>3.1</v>
      </c>
      <c r="G216" s="63">
        <v>3.1</v>
      </c>
    </row>
    <row r="217" spans="1:7" x14ac:dyDescent="0.2">
      <c r="A217" s="74">
        <v>183</v>
      </c>
      <c r="B217" s="60" t="s">
        <v>187</v>
      </c>
      <c r="C217" s="61"/>
      <c r="D217" s="61">
        <v>1.4</v>
      </c>
      <c r="E217" s="61">
        <v>1.45</v>
      </c>
      <c r="F217" s="62">
        <v>1.5</v>
      </c>
      <c r="G217" s="63">
        <v>1.5</v>
      </c>
    </row>
    <row r="218" spans="1:7" x14ac:dyDescent="0.2">
      <c r="A218" s="74">
        <v>184</v>
      </c>
      <c r="B218" s="60" t="s">
        <v>188</v>
      </c>
      <c r="C218" s="61"/>
      <c r="D218" s="61">
        <v>1</v>
      </c>
      <c r="E218" s="61">
        <v>1.05</v>
      </c>
      <c r="F218" s="62">
        <v>1.1000000000000001</v>
      </c>
      <c r="G218" s="63">
        <v>1.1000000000000001</v>
      </c>
    </row>
    <row r="219" spans="1:7" x14ac:dyDescent="0.2">
      <c r="A219" s="74">
        <v>185</v>
      </c>
      <c r="B219" s="60" t="s">
        <v>189</v>
      </c>
      <c r="C219" s="61">
        <v>0.5</v>
      </c>
      <c r="D219" s="61">
        <v>1</v>
      </c>
      <c r="E219" s="61">
        <v>1.05</v>
      </c>
      <c r="F219" s="62">
        <v>1.1000000000000001</v>
      </c>
      <c r="G219" s="63">
        <v>1.1000000000000001</v>
      </c>
    </row>
    <row r="220" spans="1:7" x14ac:dyDescent="0.2">
      <c r="A220" s="74">
        <v>186</v>
      </c>
      <c r="B220" s="60" t="s">
        <v>190</v>
      </c>
      <c r="C220" s="61"/>
      <c r="D220" s="61">
        <v>1</v>
      </c>
      <c r="E220" s="61">
        <v>1.05</v>
      </c>
      <c r="F220" s="62">
        <v>1.1000000000000001</v>
      </c>
      <c r="G220" s="63">
        <v>1.1000000000000001</v>
      </c>
    </row>
    <row r="221" spans="1:7" x14ac:dyDescent="0.2">
      <c r="A221" s="74">
        <v>187</v>
      </c>
      <c r="B221" s="60" t="s">
        <v>191</v>
      </c>
      <c r="C221" s="61"/>
      <c r="D221" s="61">
        <v>3.3</v>
      </c>
      <c r="E221" s="61">
        <v>3.4</v>
      </c>
      <c r="F221" s="62">
        <v>3.4</v>
      </c>
      <c r="G221" s="63">
        <v>3.4</v>
      </c>
    </row>
    <row r="222" spans="1:7" x14ac:dyDescent="0.2">
      <c r="A222" s="74"/>
      <c r="B222" s="60"/>
      <c r="C222" s="61"/>
      <c r="D222" s="61"/>
      <c r="E222" s="61"/>
      <c r="F222" s="62"/>
      <c r="G222" s="63"/>
    </row>
    <row r="223" spans="1:7" x14ac:dyDescent="0.2">
      <c r="A223" s="74"/>
      <c r="B223" s="60"/>
      <c r="C223" s="61"/>
      <c r="D223" s="61"/>
      <c r="E223" s="61"/>
      <c r="F223" s="62"/>
      <c r="G223" s="68"/>
    </row>
    <row r="224" spans="1:7" x14ac:dyDescent="0.2">
      <c r="A224" s="74"/>
      <c r="B224" s="69" t="s">
        <v>192</v>
      </c>
      <c r="C224" s="66"/>
      <c r="D224" s="66"/>
      <c r="E224" s="66"/>
      <c r="F224" s="70"/>
      <c r="G224" s="63"/>
    </row>
    <row r="225" spans="1:7" x14ac:dyDescent="0.2">
      <c r="A225" s="74">
        <v>188</v>
      </c>
      <c r="B225" s="60" t="s">
        <v>193</v>
      </c>
      <c r="C225" s="61"/>
      <c r="D225" s="61">
        <v>3.1</v>
      </c>
      <c r="E225" s="61">
        <v>3.2</v>
      </c>
      <c r="F225" s="62">
        <v>3.35</v>
      </c>
      <c r="G225" s="63">
        <v>3.4</v>
      </c>
    </row>
    <row r="226" spans="1:7" x14ac:dyDescent="0.2">
      <c r="A226" s="74"/>
      <c r="B226" s="60" t="s">
        <v>194</v>
      </c>
      <c r="C226" s="61"/>
      <c r="D226" s="61"/>
      <c r="E226" s="61"/>
      <c r="F226" s="62"/>
      <c r="G226" s="63"/>
    </row>
    <row r="227" spans="1:7" x14ac:dyDescent="0.2">
      <c r="A227" s="74">
        <v>189</v>
      </c>
      <c r="B227" s="77" t="s">
        <v>195</v>
      </c>
      <c r="C227" s="61"/>
      <c r="D227" s="61">
        <v>5</v>
      </c>
      <c r="E227" s="61">
        <v>5.0999999999999996</v>
      </c>
      <c r="F227" s="62">
        <v>5.25</v>
      </c>
      <c r="G227" s="63">
        <v>5.4</v>
      </c>
    </row>
    <row r="228" spans="1:7" x14ac:dyDescent="0.2">
      <c r="A228" s="74">
        <v>190</v>
      </c>
      <c r="B228" s="77" t="s">
        <v>196</v>
      </c>
      <c r="C228" s="61"/>
      <c r="D228" s="61">
        <v>5</v>
      </c>
      <c r="E228" s="61">
        <v>5.0999999999999996</v>
      </c>
      <c r="F228" s="62">
        <v>5.25</v>
      </c>
      <c r="G228" s="63">
        <v>5.4</v>
      </c>
    </row>
    <row r="229" spans="1:7" x14ac:dyDescent="0.2">
      <c r="A229" s="74">
        <v>191</v>
      </c>
      <c r="B229" s="77" t="s">
        <v>197</v>
      </c>
      <c r="C229" s="61"/>
      <c r="D229" s="61">
        <v>5</v>
      </c>
      <c r="E229" s="61">
        <v>5.0999999999999996</v>
      </c>
      <c r="F229" s="62">
        <v>5.25</v>
      </c>
      <c r="G229" s="63">
        <v>5.4</v>
      </c>
    </row>
    <row r="230" spans="1:7" x14ac:dyDescent="0.2">
      <c r="A230" s="74">
        <v>192</v>
      </c>
      <c r="B230" s="77" t="s">
        <v>198</v>
      </c>
      <c r="C230" s="61"/>
      <c r="D230" s="61">
        <v>5</v>
      </c>
      <c r="E230" s="61">
        <v>5.0999999999999996</v>
      </c>
      <c r="F230" s="62">
        <v>5.25</v>
      </c>
      <c r="G230" s="63">
        <v>5.4</v>
      </c>
    </row>
    <row r="231" spans="1:7" x14ac:dyDescent="0.2">
      <c r="A231" s="74">
        <v>193</v>
      </c>
      <c r="B231" s="77" t="s">
        <v>199</v>
      </c>
      <c r="C231" s="61"/>
      <c r="D231" s="61">
        <v>5</v>
      </c>
      <c r="E231" s="61">
        <v>5.0999999999999996</v>
      </c>
      <c r="F231" s="62">
        <v>5.25</v>
      </c>
      <c r="G231" s="63">
        <v>5.4</v>
      </c>
    </row>
    <row r="232" spans="1:7" x14ac:dyDescent="0.2">
      <c r="A232" s="74">
        <v>194</v>
      </c>
      <c r="B232" s="77" t="s">
        <v>200</v>
      </c>
      <c r="C232" s="61"/>
      <c r="D232" s="61">
        <v>5</v>
      </c>
      <c r="E232" s="61">
        <v>5.0999999999999996</v>
      </c>
      <c r="F232" s="62">
        <v>5.25</v>
      </c>
      <c r="G232" s="63">
        <v>5.4</v>
      </c>
    </row>
    <row r="233" spans="1:7" x14ac:dyDescent="0.2">
      <c r="A233" s="74">
        <v>195</v>
      </c>
      <c r="B233" s="77" t="s">
        <v>201</v>
      </c>
      <c r="C233" s="61"/>
      <c r="D233" s="61">
        <v>1</v>
      </c>
      <c r="E233" s="61">
        <v>1.05</v>
      </c>
      <c r="F233" s="62">
        <v>1.1000000000000001</v>
      </c>
      <c r="G233" s="63">
        <v>1.1000000000000001</v>
      </c>
    </row>
    <row r="234" spans="1:7" x14ac:dyDescent="0.2">
      <c r="A234" s="74">
        <v>196</v>
      </c>
      <c r="B234" s="77" t="s">
        <v>202</v>
      </c>
      <c r="C234" s="61"/>
      <c r="D234" s="61">
        <v>2.4</v>
      </c>
      <c r="E234" s="61">
        <v>2.5</v>
      </c>
      <c r="F234" s="62">
        <v>2.6</v>
      </c>
      <c r="G234" s="63">
        <v>2.65</v>
      </c>
    </row>
    <row r="235" spans="1:7" x14ac:dyDescent="0.2">
      <c r="A235" s="74">
        <v>197</v>
      </c>
      <c r="B235" s="60" t="s">
        <v>203</v>
      </c>
      <c r="C235" s="61"/>
      <c r="D235" s="61">
        <v>5</v>
      </c>
      <c r="E235" s="61">
        <v>5.0999999999999996</v>
      </c>
      <c r="F235" s="62">
        <v>5.25</v>
      </c>
      <c r="G235" s="63">
        <v>5.4</v>
      </c>
    </row>
    <row r="236" spans="1:7" x14ac:dyDescent="0.2">
      <c r="A236" s="74"/>
      <c r="B236" s="60" t="s">
        <v>204</v>
      </c>
      <c r="C236" s="61"/>
      <c r="D236" s="61"/>
      <c r="E236" s="61"/>
      <c r="F236" s="62"/>
      <c r="G236" s="63"/>
    </row>
    <row r="237" spans="1:7" x14ac:dyDescent="0.2">
      <c r="A237" s="74">
        <v>198</v>
      </c>
      <c r="B237" s="77" t="s">
        <v>205</v>
      </c>
      <c r="C237" s="61"/>
      <c r="D237" s="61">
        <v>5</v>
      </c>
      <c r="E237" s="61">
        <v>5.0999999999999996</v>
      </c>
      <c r="F237" s="62">
        <v>5.25</v>
      </c>
      <c r="G237" s="63">
        <v>5.4</v>
      </c>
    </row>
    <row r="238" spans="1:7" x14ac:dyDescent="0.2">
      <c r="A238" s="74">
        <v>199</v>
      </c>
      <c r="B238" s="77" t="s">
        <v>206</v>
      </c>
      <c r="C238" s="61"/>
      <c r="D238" s="61">
        <v>5</v>
      </c>
      <c r="E238" s="61">
        <v>5.0999999999999996</v>
      </c>
      <c r="F238" s="62">
        <v>5.25</v>
      </c>
      <c r="G238" s="63">
        <v>5.4</v>
      </c>
    </row>
    <row r="239" spans="1:7" x14ac:dyDescent="0.2">
      <c r="A239" s="74">
        <v>200</v>
      </c>
      <c r="B239" s="77" t="s">
        <v>207</v>
      </c>
      <c r="C239" s="61"/>
      <c r="D239" s="61">
        <v>2.5</v>
      </c>
      <c r="E239" s="61">
        <v>2.5499999999999998</v>
      </c>
      <c r="F239" s="62">
        <v>2.65</v>
      </c>
      <c r="G239" s="63">
        <v>2.7</v>
      </c>
    </row>
    <row r="240" spans="1:7" x14ac:dyDescent="0.2">
      <c r="A240" s="74">
        <v>201</v>
      </c>
      <c r="B240" s="60" t="s">
        <v>208</v>
      </c>
      <c r="C240" s="61"/>
      <c r="D240" s="61">
        <v>4.5999999999999996</v>
      </c>
      <c r="E240" s="61">
        <v>4.7</v>
      </c>
      <c r="F240" s="62">
        <v>4.8499999999999996</v>
      </c>
      <c r="G240" s="63">
        <v>4.95</v>
      </c>
    </row>
    <row r="241" spans="1:7" x14ac:dyDescent="0.2">
      <c r="A241" s="74">
        <v>202</v>
      </c>
      <c r="B241" s="60" t="s">
        <v>209</v>
      </c>
      <c r="C241" s="61"/>
      <c r="D241" s="61">
        <v>2.7</v>
      </c>
      <c r="E241" s="61">
        <v>2.75</v>
      </c>
      <c r="F241" s="62">
        <v>2.85</v>
      </c>
      <c r="G241" s="63">
        <v>2.9</v>
      </c>
    </row>
    <row r="242" spans="1:7" x14ac:dyDescent="0.2">
      <c r="A242" s="74"/>
      <c r="B242" s="60"/>
      <c r="C242" s="87"/>
      <c r="D242" s="87"/>
      <c r="E242" s="87"/>
      <c r="F242" s="88"/>
      <c r="G242" s="63"/>
    </row>
    <row r="243" spans="1:7" x14ac:dyDescent="0.2">
      <c r="A243" s="74"/>
      <c r="B243" s="60"/>
      <c r="C243" s="61"/>
      <c r="D243" s="61"/>
      <c r="E243" s="61"/>
      <c r="F243" s="62"/>
      <c r="G243" s="68"/>
    </row>
    <row r="244" spans="1:7" x14ac:dyDescent="0.2">
      <c r="A244" s="74"/>
      <c r="B244" s="69" t="s">
        <v>210</v>
      </c>
      <c r="C244" s="66"/>
      <c r="D244" s="66"/>
      <c r="E244" s="66"/>
      <c r="F244" s="70"/>
      <c r="G244" s="63"/>
    </row>
    <row r="245" spans="1:7" x14ac:dyDescent="0.2">
      <c r="A245" s="74"/>
      <c r="B245" s="60" t="s">
        <v>211</v>
      </c>
      <c r="C245" s="61"/>
      <c r="D245" s="61"/>
      <c r="E245" s="61"/>
      <c r="F245" s="62"/>
      <c r="G245" s="63"/>
    </row>
    <row r="246" spans="1:7" x14ac:dyDescent="0.2">
      <c r="A246" s="74">
        <v>203</v>
      </c>
      <c r="B246" s="77" t="s">
        <v>212</v>
      </c>
      <c r="C246" s="61">
        <v>1</v>
      </c>
      <c r="D246" s="61">
        <v>1.3</v>
      </c>
      <c r="E246" s="61">
        <v>1.35</v>
      </c>
      <c r="F246" s="62">
        <v>1.4</v>
      </c>
      <c r="G246" s="63">
        <v>1.4</v>
      </c>
    </row>
    <row r="247" spans="1:7" x14ac:dyDescent="0.2">
      <c r="A247" s="74">
        <v>204</v>
      </c>
      <c r="B247" s="77" t="s">
        <v>213</v>
      </c>
      <c r="C247" s="61">
        <v>1</v>
      </c>
      <c r="D247" s="61">
        <v>1.3</v>
      </c>
      <c r="E247" s="61">
        <v>1.35</v>
      </c>
      <c r="F247" s="62">
        <v>1.4</v>
      </c>
      <c r="G247" s="63">
        <v>1.4</v>
      </c>
    </row>
    <row r="248" spans="1:7" x14ac:dyDescent="0.2">
      <c r="A248" s="74">
        <v>205</v>
      </c>
      <c r="B248" s="77" t="s">
        <v>214</v>
      </c>
      <c r="C248" s="61">
        <v>3.24</v>
      </c>
      <c r="D248" s="61">
        <v>1</v>
      </c>
      <c r="E248" s="61">
        <v>1</v>
      </c>
      <c r="F248" s="62">
        <v>1.05</v>
      </c>
      <c r="G248" s="63">
        <v>1.05</v>
      </c>
    </row>
    <row r="249" spans="1:7" x14ac:dyDescent="0.2">
      <c r="A249" s="74"/>
      <c r="B249" s="60" t="s">
        <v>215</v>
      </c>
      <c r="C249" s="61"/>
      <c r="D249" s="61"/>
      <c r="E249" s="61"/>
      <c r="F249" s="62"/>
      <c r="G249" s="63"/>
    </row>
    <row r="250" spans="1:7" x14ac:dyDescent="0.2">
      <c r="A250" s="74">
        <v>206</v>
      </c>
      <c r="B250" s="77" t="s">
        <v>215</v>
      </c>
      <c r="C250" s="61">
        <v>4.49</v>
      </c>
      <c r="D250" s="61">
        <v>3.1</v>
      </c>
      <c r="E250" s="61">
        <v>3.2</v>
      </c>
      <c r="F250" s="62">
        <v>3.3</v>
      </c>
      <c r="G250" s="63">
        <v>3.35</v>
      </c>
    </row>
    <row r="251" spans="1:7" x14ac:dyDescent="0.2">
      <c r="A251" s="74">
        <v>207</v>
      </c>
      <c r="B251" s="77" t="s">
        <v>216</v>
      </c>
      <c r="C251" s="61"/>
      <c r="D251" s="61">
        <v>1.8</v>
      </c>
      <c r="E251" s="61">
        <v>1.85</v>
      </c>
      <c r="F251" s="62">
        <v>1.9</v>
      </c>
      <c r="G251" s="63">
        <v>1.9</v>
      </c>
    </row>
    <row r="252" spans="1:7" x14ac:dyDescent="0.2">
      <c r="A252" s="74">
        <v>208</v>
      </c>
      <c r="B252" s="77" t="s">
        <v>217</v>
      </c>
      <c r="C252" s="61"/>
      <c r="D252" s="61">
        <v>1.2</v>
      </c>
      <c r="E252" s="61">
        <v>1.25</v>
      </c>
      <c r="F252" s="62">
        <v>1.3</v>
      </c>
      <c r="G252" s="63">
        <v>1.3</v>
      </c>
    </row>
    <row r="253" spans="1:7" x14ac:dyDescent="0.2">
      <c r="A253" s="74"/>
      <c r="B253" s="60" t="s">
        <v>218</v>
      </c>
      <c r="C253" s="61"/>
      <c r="D253" s="61"/>
      <c r="E253" s="61"/>
      <c r="F253" s="62"/>
      <c r="G253" s="63"/>
    </row>
    <row r="254" spans="1:7" x14ac:dyDescent="0.2">
      <c r="A254" s="74">
        <v>209</v>
      </c>
      <c r="B254" s="77" t="s">
        <v>219</v>
      </c>
      <c r="C254" s="61"/>
      <c r="D254" s="61">
        <v>1.2</v>
      </c>
      <c r="E254" s="61">
        <v>1.25</v>
      </c>
      <c r="F254" s="62">
        <v>1.3</v>
      </c>
      <c r="G254" s="63">
        <v>1.3</v>
      </c>
    </row>
    <row r="255" spans="1:7" x14ac:dyDescent="0.2">
      <c r="A255" s="74">
        <v>210</v>
      </c>
      <c r="B255" s="77" t="s">
        <v>218</v>
      </c>
      <c r="C255" s="61"/>
      <c r="D255" s="61">
        <v>4.8</v>
      </c>
      <c r="E255" s="61">
        <v>4.9000000000000004</v>
      </c>
      <c r="F255" s="62">
        <v>5.05</v>
      </c>
      <c r="G255" s="63">
        <v>5.2</v>
      </c>
    </row>
    <row r="256" spans="1:7" x14ac:dyDescent="0.2">
      <c r="A256" s="74">
        <v>211</v>
      </c>
      <c r="B256" s="60" t="s">
        <v>220</v>
      </c>
      <c r="C256" s="61"/>
      <c r="D256" s="61">
        <v>2.2999999999999998</v>
      </c>
      <c r="E256" s="61">
        <v>2.4</v>
      </c>
      <c r="F256" s="62">
        <v>2.5</v>
      </c>
      <c r="G256" s="63">
        <v>2.5499999999999998</v>
      </c>
    </row>
    <row r="257" spans="1:7" x14ac:dyDescent="0.2">
      <c r="A257" s="74"/>
      <c r="B257" s="60" t="s">
        <v>221</v>
      </c>
      <c r="C257" s="61"/>
      <c r="D257" s="61"/>
      <c r="E257" s="61"/>
      <c r="F257" s="62"/>
      <c r="G257" s="63"/>
    </row>
    <row r="258" spans="1:7" x14ac:dyDescent="0.2">
      <c r="A258" s="74">
        <v>212</v>
      </c>
      <c r="B258" s="77" t="s">
        <v>222</v>
      </c>
      <c r="C258" s="61">
        <v>0.5</v>
      </c>
      <c r="D258" s="61">
        <v>1</v>
      </c>
      <c r="E258" s="61">
        <v>1.05</v>
      </c>
      <c r="F258" s="62">
        <v>1.1000000000000001</v>
      </c>
      <c r="G258" s="63">
        <v>1.1000000000000001</v>
      </c>
    </row>
    <row r="259" spans="1:7" x14ac:dyDescent="0.2">
      <c r="A259" s="74">
        <v>213</v>
      </c>
      <c r="B259" s="77" t="s">
        <v>223</v>
      </c>
      <c r="C259" s="61">
        <v>0.5</v>
      </c>
      <c r="D259" s="61">
        <v>1</v>
      </c>
      <c r="E259" s="61">
        <v>1.05</v>
      </c>
      <c r="F259" s="62">
        <v>1.1000000000000001</v>
      </c>
      <c r="G259" s="63">
        <v>1.1000000000000001</v>
      </c>
    </row>
    <row r="260" spans="1:7" x14ac:dyDescent="0.2">
      <c r="A260" s="74">
        <v>214</v>
      </c>
      <c r="B260" s="77" t="s">
        <v>224</v>
      </c>
      <c r="C260" s="61"/>
      <c r="D260" s="61">
        <v>1.4</v>
      </c>
      <c r="E260" s="61">
        <v>1.45</v>
      </c>
      <c r="F260" s="62">
        <v>1.5</v>
      </c>
      <c r="G260" s="63">
        <v>1.5</v>
      </c>
    </row>
    <row r="261" spans="1:7" x14ac:dyDescent="0.2">
      <c r="A261" s="74">
        <v>215</v>
      </c>
      <c r="B261" s="77" t="s">
        <v>225</v>
      </c>
      <c r="C261" s="61"/>
      <c r="D261" s="61">
        <v>4</v>
      </c>
      <c r="E261" s="61">
        <v>4.0999999999999996</v>
      </c>
      <c r="F261" s="62">
        <v>4.25</v>
      </c>
      <c r="G261" s="63">
        <v>4.3</v>
      </c>
    </row>
    <row r="262" spans="1:7" x14ac:dyDescent="0.2">
      <c r="A262" s="74"/>
      <c r="B262" s="60" t="s">
        <v>226</v>
      </c>
      <c r="C262" s="61"/>
      <c r="D262" s="61"/>
      <c r="E262" s="61"/>
      <c r="F262" s="62"/>
      <c r="G262" s="63"/>
    </row>
    <row r="263" spans="1:7" x14ac:dyDescent="0.2">
      <c r="A263" s="74">
        <v>216</v>
      </c>
      <c r="B263" s="60" t="s">
        <v>227</v>
      </c>
      <c r="C263" s="61"/>
      <c r="D263" s="61">
        <v>3.4</v>
      </c>
      <c r="E263" s="61">
        <v>3.5</v>
      </c>
      <c r="F263" s="62">
        <v>3.65</v>
      </c>
      <c r="G263" s="63">
        <v>3.7</v>
      </c>
    </row>
    <row r="264" spans="1:7" x14ac:dyDescent="0.2">
      <c r="A264" s="74">
        <v>217</v>
      </c>
      <c r="B264" s="60" t="s">
        <v>228</v>
      </c>
      <c r="C264" s="61"/>
      <c r="D264" s="61">
        <v>4.8</v>
      </c>
      <c r="E264" s="61">
        <v>4.9000000000000004</v>
      </c>
      <c r="F264" s="62">
        <v>5.05</v>
      </c>
      <c r="G264" s="63">
        <v>5.2</v>
      </c>
    </row>
    <row r="265" spans="1:7" x14ac:dyDescent="0.2">
      <c r="A265" s="74">
        <v>218</v>
      </c>
      <c r="B265" s="60" t="s">
        <v>229</v>
      </c>
      <c r="C265" s="61"/>
      <c r="D265" s="61">
        <v>1.2</v>
      </c>
      <c r="E265" s="61">
        <v>1.25</v>
      </c>
      <c r="F265" s="62">
        <v>1.3</v>
      </c>
      <c r="G265" s="63">
        <v>1.3</v>
      </c>
    </row>
    <row r="266" spans="1:7" x14ac:dyDescent="0.2">
      <c r="A266" s="74">
        <v>219</v>
      </c>
      <c r="B266" s="60" t="s">
        <v>230</v>
      </c>
      <c r="C266" s="61"/>
      <c r="D266" s="61">
        <v>2.5</v>
      </c>
      <c r="E266" s="61">
        <v>2.5499999999999998</v>
      </c>
      <c r="F266" s="62">
        <v>2.65</v>
      </c>
      <c r="G266" s="63">
        <v>2.7</v>
      </c>
    </row>
    <row r="267" spans="1:7" x14ac:dyDescent="0.2">
      <c r="A267" s="74"/>
      <c r="B267" s="60"/>
      <c r="C267" s="61"/>
      <c r="D267" s="61"/>
      <c r="E267" s="61"/>
      <c r="F267" s="62"/>
      <c r="G267" s="63"/>
    </row>
    <row r="268" spans="1:7" x14ac:dyDescent="0.2">
      <c r="A268" s="74"/>
      <c r="B268" s="60"/>
      <c r="C268" s="61"/>
      <c r="D268" s="61"/>
      <c r="E268" s="61"/>
      <c r="F268" s="62"/>
      <c r="G268" s="63"/>
    </row>
    <row r="269" spans="1:7" x14ac:dyDescent="0.2">
      <c r="A269" s="74"/>
      <c r="B269" s="60" t="s">
        <v>231</v>
      </c>
      <c r="C269" s="61"/>
      <c r="D269" s="61"/>
      <c r="E269" s="61"/>
      <c r="F269" s="62"/>
      <c r="G269" s="89"/>
    </row>
    <row r="270" spans="1:7" x14ac:dyDescent="0.2">
      <c r="A270" s="74"/>
      <c r="B270" s="69" t="s">
        <v>232</v>
      </c>
      <c r="C270" s="87"/>
      <c r="D270" s="87"/>
      <c r="E270" s="87"/>
      <c r="F270" s="88"/>
      <c r="G270" s="86"/>
    </row>
    <row r="271" spans="1:7" x14ac:dyDescent="0.2">
      <c r="A271" s="74">
        <v>223</v>
      </c>
      <c r="B271" s="60" t="s">
        <v>233</v>
      </c>
      <c r="C271" s="61">
        <v>0.75</v>
      </c>
      <c r="D271" s="61">
        <v>0.3</v>
      </c>
      <c r="E271" s="61">
        <v>0.3</v>
      </c>
      <c r="F271" s="62">
        <v>0.35</v>
      </c>
      <c r="G271" s="63">
        <v>0.35</v>
      </c>
    </row>
    <row r="272" spans="1:7" x14ac:dyDescent="0.2">
      <c r="A272" s="74">
        <v>224</v>
      </c>
      <c r="B272" s="60" t="s">
        <v>234</v>
      </c>
      <c r="C272" s="61">
        <v>0.75</v>
      </c>
      <c r="D272" s="61">
        <v>0.4</v>
      </c>
      <c r="E272" s="61">
        <v>0.4</v>
      </c>
      <c r="F272" s="82">
        <v>0.4</v>
      </c>
      <c r="G272" s="63">
        <v>0.4</v>
      </c>
    </row>
    <row r="273" spans="1:7" x14ac:dyDescent="0.2">
      <c r="A273" s="74">
        <v>225</v>
      </c>
      <c r="B273" s="60" t="s">
        <v>235</v>
      </c>
      <c r="C273" s="61">
        <v>0.75</v>
      </c>
      <c r="D273" s="61">
        <v>0.3</v>
      </c>
      <c r="E273" s="61">
        <v>0.3</v>
      </c>
      <c r="F273" s="62">
        <v>0.35</v>
      </c>
      <c r="G273" s="63">
        <v>0.35</v>
      </c>
    </row>
    <row r="274" spans="1:7" x14ac:dyDescent="0.2">
      <c r="A274" s="74">
        <v>226</v>
      </c>
      <c r="B274" s="60" t="s">
        <v>236</v>
      </c>
      <c r="C274" s="61">
        <v>0.75</v>
      </c>
      <c r="D274" s="61">
        <v>0.3</v>
      </c>
      <c r="E274" s="61">
        <v>0.3</v>
      </c>
      <c r="F274" s="62">
        <v>0.35</v>
      </c>
      <c r="G274" s="63">
        <v>0.35</v>
      </c>
    </row>
    <row r="275" spans="1:7" x14ac:dyDescent="0.2">
      <c r="A275" s="74">
        <v>229</v>
      </c>
      <c r="B275" s="60" t="s">
        <v>237</v>
      </c>
      <c r="C275" s="61">
        <v>0.75</v>
      </c>
      <c r="D275" s="61">
        <v>0.4</v>
      </c>
      <c r="E275" s="61">
        <v>0.4</v>
      </c>
      <c r="F275" s="82">
        <v>0.4</v>
      </c>
      <c r="G275" s="63">
        <v>0.4</v>
      </c>
    </row>
    <row r="276" spans="1:7" x14ac:dyDescent="0.2">
      <c r="A276" s="74">
        <v>230</v>
      </c>
      <c r="B276" s="60" t="s">
        <v>238</v>
      </c>
      <c r="C276" s="61">
        <v>0.75</v>
      </c>
      <c r="D276" s="61">
        <v>0.4</v>
      </c>
      <c r="E276" s="61">
        <v>0.4</v>
      </c>
      <c r="F276" s="82">
        <v>0.4</v>
      </c>
      <c r="G276" s="63">
        <v>0.4</v>
      </c>
    </row>
    <row r="277" spans="1:7" x14ac:dyDescent="0.2">
      <c r="A277" s="74">
        <v>232</v>
      </c>
      <c r="B277" s="60" t="s">
        <v>239</v>
      </c>
      <c r="C277" s="61">
        <v>0.75</v>
      </c>
      <c r="D277" s="61">
        <v>0.4</v>
      </c>
      <c r="E277" s="61">
        <v>0.4</v>
      </c>
      <c r="F277" s="62">
        <v>0.45</v>
      </c>
      <c r="G277" s="63">
        <v>0.45</v>
      </c>
    </row>
    <row r="278" spans="1:7" x14ac:dyDescent="0.2">
      <c r="A278" s="74">
        <v>233</v>
      </c>
      <c r="B278" s="60" t="s">
        <v>240</v>
      </c>
      <c r="C278" s="61">
        <v>0.75</v>
      </c>
      <c r="D278" s="61">
        <v>0.3</v>
      </c>
      <c r="E278" s="61">
        <v>0.3</v>
      </c>
      <c r="F278" s="62">
        <v>0.35</v>
      </c>
      <c r="G278" s="63">
        <v>0.35</v>
      </c>
    </row>
    <row r="279" spans="1:7" x14ac:dyDescent="0.2">
      <c r="A279" s="74">
        <v>234</v>
      </c>
      <c r="B279" s="60" t="s">
        <v>241</v>
      </c>
      <c r="C279" s="61">
        <v>0.75</v>
      </c>
      <c r="D279" s="61">
        <v>0.3</v>
      </c>
      <c r="E279" s="61">
        <v>0.3</v>
      </c>
      <c r="F279" s="62">
        <v>0.35</v>
      </c>
      <c r="G279" s="63">
        <v>0.35</v>
      </c>
    </row>
    <row r="280" spans="1:7" x14ac:dyDescent="0.2">
      <c r="A280" s="74">
        <v>235</v>
      </c>
      <c r="B280" s="60" t="s">
        <v>242</v>
      </c>
      <c r="C280" s="61">
        <v>0.75</v>
      </c>
      <c r="D280" s="61">
        <v>0.3</v>
      </c>
      <c r="E280" s="61">
        <v>0.3</v>
      </c>
      <c r="F280" s="62">
        <v>0.35</v>
      </c>
      <c r="G280" s="63">
        <v>0.35</v>
      </c>
    </row>
    <row r="281" spans="1:7" x14ac:dyDescent="0.2">
      <c r="A281" s="74">
        <v>236</v>
      </c>
      <c r="B281" s="60" t="s">
        <v>243</v>
      </c>
      <c r="C281" s="61">
        <v>0.75</v>
      </c>
      <c r="D281" s="61">
        <v>0.3</v>
      </c>
      <c r="E281" s="61">
        <v>0.3</v>
      </c>
      <c r="F281" s="62">
        <v>0.35</v>
      </c>
      <c r="G281" s="63">
        <v>0.35</v>
      </c>
    </row>
    <row r="282" spans="1:7" x14ac:dyDescent="0.2">
      <c r="A282" s="74">
        <v>237</v>
      </c>
      <c r="B282" s="60" t="s">
        <v>244</v>
      </c>
      <c r="C282" s="61">
        <v>0.75</v>
      </c>
      <c r="D282" s="61">
        <v>0.3</v>
      </c>
      <c r="E282" s="61">
        <v>0.3</v>
      </c>
      <c r="F282" s="62">
        <v>0.35</v>
      </c>
      <c r="G282" s="63">
        <v>0.35</v>
      </c>
    </row>
    <row r="283" spans="1:7" x14ac:dyDescent="0.2">
      <c r="A283" s="74">
        <v>238</v>
      </c>
      <c r="B283" s="60" t="s">
        <v>245</v>
      </c>
      <c r="C283" s="61">
        <v>0.75</v>
      </c>
      <c r="D283" s="61">
        <v>0.6</v>
      </c>
      <c r="E283" s="61">
        <v>0.6</v>
      </c>
      <c r="F283" s="82">
        <v>0.6</v>
      </c>
      <c r="G283" s="63">
        <v>0.6</v>
      </c>
    </row>
    <row r="284" spans="1:7" x14ac:dyDescent="0.2">
      <c r="A284" s="74">
        <v>239</v>
      </c>
      <c r="B284" s="60" t="s">
        <v>246</v>
      </c>
      <c r="C284" s="61">
        <v>0.75</v>
      </c>
      <c r="D284" s="61">
        <v>0.4</v>
      </c>
      <c r="E284" s="61">
        <v>0.4</v>
      </c>
      <c r="F284" s="82">
        <v>0.4</v>
      </c>
      <c r="G284" s="63">
        <v>0.4</v>
      </c>
    </row>
    <row r="285" spans="1:7" x14ac:dyDescent="0.2">
      <c r="A285" s="74">
        <v>240</v>
      </c>
      <c r="B285" s="60" t="s">
        <v>247</v>
      </c>
      <c r="C285" s="61">
        <v>0.75</v>
      </c>
      <c r="D285" s="61">
        <v>0.3</v>
      </c>
      <c r="E285" s="61">
        <v>0.3</v>
      </c>
      <c r="F285" s="62">
        <v>0.35</v>
      </c>
      <c r="G285" s="63">
        <v>0.35</v>
      </c>
    </row>
    <row r="286" spans="1:7" x14ac:dyDescent="0.2">
      <c r="A286" s="74">
        <v>241</v>
      </c>
      <c r="B286" s="60" t="s">
        <v>248</v>
      </c>
      <c r="C286" s="61">
        <v>0.75</v>
      </c>
      <c r="D286" s="61">
        <v>0.5</v>
      </c>
      <c r="E286" s="61">
        <v>0.5</v>
      </c>
      <c r="F286" s="82">
        <v>0.5</v>
      </c>
      <c r="G286" s="63">
        <v>0.5</v>
      </c>
    </row>
    <row r="287" spans="1:7" x14ac:dyDescent="0.2">
      <c r="A287" s="74">
        <v>242</v>
      </c>
      <c r="B287" s="60" t="s">
        <v>249</v>
      </c>
      <c r="C287" s="61">
        <v>0.75</v>
      </c>
      <c r="D287" s="61">
        <v>0.9</v>
      </c>
      <c r="E287" s="61">
        <v>0.9</v>
      </c>
      <c r="F287" s="62">
        <v>0.95</v>
      </c>
      <c r="G287" s="63">
        <v>0.95</v>
      </c>
    </row>
    <row r="288" spans="1:7" x14ac:dyDescent="0.2">
      <c r="A288" s="74">
        <v>244</v>
      </c>
      <c r="B288" s="60" t="s">
        <v>250</v>
      </c>
      <c r="C288" s="61">
        <v>0.75</v>
      </c>
      <c r="D288" s="61">
        <v>0.3</v>
      </c>
      <c r="E288" s="61">
        <v>0.3</v>
      </c>
      <c r="F288" s="62">
        <v>0.35</v>
      </c>
      <c r="G288" s="63">
        <v>0.35</v>
      </c>
    </row>
    <row r="289" spans="1:7" x14ac:dyDescent="0.2">
      <c r="A289" s="74">
        <v>245</v>
      </c>
      <c r="B289" s="60" t="s">
        <v>251</v>
      </c>
      <c r="C289" s="61">
        <v>0.75</v>
      </c>
      <c r="D289" s="61">
        <v>0.4</v>
      </c>
      <c r="E289" s="61">
        <v>0.4</v>
      </c>
      <c r="F289" s="62">
        <v>0.45</v>
      </c>
      <c r="G289" s="63">
        <v>0.45</v>
      </c>
    </row>
    <row r="290" spans="1:7" x14ac:dyDescent="0.2">
      <c r="A290" s="74">
        <v>246</v>
      </c>
      <c r="B290" s="60" t="s">
        <v>252</v>
      </c>
      <c r="C290" s="61">
        <v>0.75</v>
      </c>
      <c r="D290" s="61">
        <v>0.4</v>
      </c>
      <c r="E290" s="61">
        <v>0.4</v>
      </c>
      <c r="F290" s="82">
        <v>0.4</v>
      </c>
      <c r="G290" s="63">
        <v>0.4</v>
      </c>
    </row>
    <row r="291" spans="1:7" x14ac:dyDescent="0.2">
      <c r="A291" s="74">
        <v>250</v>
      </c>
      <c r="B291" s="60" t="s">
        <v>253</v>
      </c>
      <c r="C291" s="61">
        <v>0.75</v>
      </c>
      <c r="D291" s="61">
        <v>0.4</v>
      </c>
      <c r="E291" s="61">
        <v>0.4</v>
      </c>
      <c r="F291" s="62">
        <v>0.45</v>
      </c>
      <c r="G291" s="63">
        <v>0.45</v>
      </c>
    </row>
    <row r="292" spans="1:7" x14ac:dyDescent="0.2">
      <c r="A292" s="74">
        <v>251</v>
      </c>
      <c r="B292" s="60" t="s">
        <v>254</v>
      </c>
      <c r="C292" s="61">
        <v>0.75</v>
      </c>
      <c r="D292" s="61">
        <v>0.4</v>
      </c>
      <c r="E292" s="61">
        <v>0.4</v>
      </c>
      <c r="F292" s="62">
        <v>0.45</v>
      </c>
      <c r="G292" s="63">
        <v>0.45</v>
      </c>
    </row>
    <row r="293" spans="1:7" x14ac:dyDescent="0.2">
      <c r="A293" s="74">
        <v>252</v>
      </c>
      <c r="B293" s="60" t="s">
        <v>255</v>
      </c>
      <c r="C293" s="61">
        <v>0.75</v>
      </c>
      <c r="D293" s="61">
        <v>0.6</v>
      </c>
      <c r="E293" s="61">
        <v>0.6</v>
      </c>
      <c r="F293" s="62">
        <v>0.65</v>
      </c>
      <c r="G293" s="63">
        <v>0.65</v>
      </c>
    </row>
    <row r="294" spans="1:7" x14ac:dyDescent="0.2">
      <c r="A294" s="74">
        <v>253</v>
      </c>
      <c r="B294" s="60" t="s">
        <v>256</v>
      </c>
      <c r="C294" s="61">
        <v>0.75</v>
      </c>
      <c r="D294" s="61">
        <v>0.4</v>
      </c>
      <c r="E294" s="61">
        <v>0.4</v>
      </c>
      <c r="F294" s="82">
        <v>0.4</v>
      </c>
      <c r="G294" s="63">
        <v>0.4</v>
      </c>
    </row>
    <row r="295" spans="1:7" x14ac:dyDescent="0.2">
      <c r="A295" s="74">
        <v>254</v>
      </c>
      <c r="B295" s="60" t="s">
        <v>257</v>
      </c>
      <c r="C295" s="61">
        <v>0.75</v>
      </c>
      <c r="D295" s="61">
        <v>0.4</v>
      </c>
      <c r="E295" s="61">
        <v>0.4</v>
      </c>
      <c r="F295" s="62">
        <v>0.45</v>
      </c>
      <c r="G295" s="63">
        <v>0.45</v>
      </c>
    </row>
    <row r="296" spans="1:7" x14ac:dyDescent="0.2">
      <c r="A296" s="74">
        <v>255</v>
      </c>
      <c r="B296" s="60" t="s">
        <v>258</v>
      </c>
      <c r="C296" s="61">
        <v>0.75</v>
      </c>
      <c r="D296" s="61">
        <v>0.6</v>
      </c>
      <c r="E296" s="61">
        <v>0.6</v>
      </c>
      <c r="F296" s="62">
        <v>0.65</v>
      </c>
      <c r="G296" s="63">
        <v>0.65</v>
      </c>
    </row>
    <row r="297" spans="1:7" x14ac:dyDescent="0.2">
      <c r="A297" s="74">
        <v>258</v>
      </c>
      <c r="B297" s="60" t="s">
        <v>259</v>
      </c>
      <c r="C297" s="61">
        <v>0.75</v>
      </c>
      <c r="D297" s="61">
        <v>0.3</v>
      </c>
      <c r="E297" s="61">
        <v>0.3</v>
      </c>
      <c r="F297" s="62">
        <v>0.35</v>
      </c>
      <c r="G297" s="63">
        <v>0.35</v>
      </c>
    </row>
    <row r="298" spans="1:7" x14ac:dyDescent="0.2">
      <c r="A298" s="74">
        <v>259</v>
      </c>
      <c r="B298" s="60" t="s">
        <v>260</v>
      </c>
      <c r="C298" s="61">
        <v>0.75</v>
      </c>
      <c r="D298" s="61">
        <v>0.3</v>
      </c>
      <c r="E298" s="61">
        <v>0.3</v>
      </c>
      <c r="F298" s="62">
        <v>0.35</v>
      </c>
      <c r="G298" s="63">
        <v>0.35</v>
      </c>
    </row>
    <row r="299" spans="1:7" x14ac:dyDescent="0.2">
      <c r="A299" s="74">
        <v>260</v>
      </c>
      <c r="B299" s="60" t="s">
        <v>261</v>
      </c>
      <c r="C299" s="61">
        <v>0.75</v>
      </c>
      <c r="D299" s="61">
        <v>0.7</v>
      </c>
      <c r="E299" s="61">
        <v>0.7</v>
      </c>
      <c r="F299" s="62">
        <v>0.75</v>
      </c>
      <c r="G299" s="63">
        <v>0.75</v>
      </c>
    </row>
    <row r="300" spans="1:7" x14ac:dyDescent="0.2">
      <c r="A300" s="74">
        <v>261</v>
      </c>
      <c r="B300" s="60" t="s">
        <v>262</v>
      </c>
      <c r="C300" s="61">
        <v>0.75</v>
      </c>
      <c r="D300" s="61">
        <v>0.3</v>
      </c>
      <c r="E300" s="61">
        <v>0.3</v>
      </c>
      <c r="F300" s="62">
        <v>0.35</v>
      </c>
      <c r="G300" s="63">
        <v>0.35</v>
      </c>
    </row>
    <row r="301" spans="1:7" x14ac:dyDescent="0.2">
      <c r="A301" s="74">
        <v>264</v>
      </c>
      <c r="B301" s="60" t="s">
        <v>263</v>
      </c>
      <c r="C301" s="61">
        <v>0.75</v>
      </c>
      <c r="D301" s="61">
        <v>0.4</v>
      </c>
      <c r="E301" s="61">
        <v>0.4</v>
      </c>
      <c r="F301" s="62">
        <v>0.45</v>
      </c>
      <c r="G301" s="63">
        <v>0.45</v>
      </c>
    </row>
    <row r="302" spans="1:7" x14ac:dyDescent="0.2">
      <c r="A302" s="74">
        <v>266</v>
      </c>
      <c r="B302" s="60" t="s">
        <v>264</v>
      </c>
      <c r="C302" s="61">
        <v>0.75</v>
      </c>
      <c r="D302" s="61">
        <v>0.2</v>
      </c>
      <c r="E302" s="61">
        <v>0.2</v>
      </c>
      <c r="F302" s="62">
        <v>0.25</v>
      </c>
      <c r="G302" s="63">
        <v>0.25</v>
      </c>
    </row>
    <row r="303" spans="1:7" x14ac:dyDescent="0.2">
      <c r="A303" s="74">
        <v>267</v>
      </c>
      <c r="B303" s="60" t="s">
        <v>265</v>
      </c>
      <c r="C303" s="61">
        <v>0.75</v>
      </c>
      <c r="D303" s="61">
        <v>0.7</v>
      </c>
      <c r="E303" s="61">
        <v>0.7</v>
      </c>
      <c r="F303" s="62">
        <v>0.75</v>
      </c>
      <c r="G303" s="63">
        <v>0.75</v>
      </c>
    </row>
    <row r="304" spans="1:7" x14ac:dyDescent="0.2">
      <c r="A304" s="74">
        <v>268</v>
      </c>
      <c r="B304" s="60" t="s">
        <v>266</v>
      </c>
      <c r="C304" s="61">
        <v>0.75</v>
      </c>
      <c r="D304" s="61">
        <v>0.6</v>
      </c>
      <c r="E304" s="61">
        <v>0.6</v>
      </c>
      <c r="F304" s="62">
        <v>0.65</v>
      </c>
      <c r="G304" s="63">
        <v>0.65</v>
      </c>
    </row>
    <row r="305" spans="1:7" x14ac:dyDescent="0.2">
      <c r="A305" s="74">
        <v>269</v>
      </c>
      <c r="B305" s="60" t="s">
        <v>267</v>
      </c>
      <c r="C305" s="61">
        <v>0.75</v>
      </c>
      <c r="D305" s="61">
        <v>0.8</v>
      </c>
      <c r="E305" s="61">
        <v>0.8</v>
      </c>
      <c r="F305" s="62">
        <v>0.85</v>
      </c>
      <c r="G305" s="63">
        <v>0.85</v>
      </c>
    </row>
    <row r="306" spans="1:7" x14ac:dyDescent="0.2">
      <c r="A306" s="74">
        <v>270</v>
      </c>
      <c r="B306" s="60" t="s">
        <v>268</v>
      </c>
      <c r="C306" s="61">
        <v>0.75</v>
      </c>
      <c r="D306" s="61">
        <v>0.3</v>
      </c>
      <c r="E306" s="61">
        <v>0.3</v>
      </c>
      <c r="F306" s="82">
        <v>0.3</v>
      </c>
      <c r="G306" s="63">
        <v>0.3</v>
      </c>
    </row>
    <row r="307" spans="1:7" x14ac:dyDescent="0.2">
      <c r="A307" s="74">
        <v>271</v>
      </c>
      <c r="B307" s="60" t="s">
        <v>269</v>
      </c>
      <c r="C307" s="61">
        <v>0.75</v>
      </c>
      <c r="D307" s="61">
        <v>0.3</v>
      </c>
      <c r="E307" s="61">
        <v>0.3</v>
      </c>
      <c r="F307" s="62">
        <v>0.35</v>
      </c>
      <c r="G307" s="63">
        <v>0.35</v>
      </c>
    </row>
    <row r="308" spans="1:7" x14ac:dyDescent="0.2">
      <c r="A308" s="74">
        <v>272</v>
      </c>
      <c r="B308" s="60" t="s">
        <v>270</v>
      </c>
      <c r="C308" s="61">
        <v>0.75</v>
      </c>
      <c r="D308" s="61">
        <v>0.8</v>
      </c>
      <c r="E308" s="61">
        <v>0.8</v>
      </c>
      <c r="F308" s="82">
        <v>0.8</v>
      </c>
      <c r="G308" s="63">
        <v>0.8</v>
      </c>
    </row>
    <row r="309" spans="1:7" x14ac:dyDescent="0.2">
      <c r="A309" s="74">
        <v>273</v>
      </c>
      <c r="B309" s="60" t="s">
        <v>271</v>
      </c>
      <c r="C309" s="61">
        <v>0.75</v>
      </c>
      <c r="D309" s="61">
        <v>0.8</v>
      </c>
      <c r="E309" s="61">
        <v>0.8</v>
      </c>
      <c r="F309" s="82">
        <v>0.8</v>
      </c>
      <c r="G309" s="63">
        <v>0.8</v>
      </c>
    </row>
    <row r="310" spans="1:7" x14ac:dyDescent="0.2">
      <c r="A310" s="74">
        <v>274</v>
      </c>
      <c r="B310" s="60" t="s">
        <v>272</v>
      </c>
      <c r="C310" s="61">
        <v>0.75</v>
      </c>
      <c r="D310" s="61">
        <v>0.3</v>
      </c>
      <c r="E310" s="61">
        <v>0.3</v>
      </c>
      <c r="F310" s="62">
        <v>0.35</v>
      </c>
      <c r="G310" s="63">
        <v>0.35</v>
      </c>
    </row>
    <row r="311" spans="1:7" x14ac:dyDescent="0.2">
      <c r="A311" s="74">
        <v>276</v>
      </c>
      <c r="B311" s="60" t="s">
        <v>273</v>
      </c>
      <c r="C311" s="61">
        <v>0.75</v>
      </c>
      <c r="D311" s="61">
        <v>1</v>
      </c>
      <c r="E311" s="61">
        <v>1.05</v>
      </c>
      <c r="F311" s="62">
        <v>1.1000000000000001</v>
      </c>
      <c r="G311" s="63">
        <v>1.1000000000000001</v>
      </c>
    </row>
    <row r="312" spans="1:7" x14ac:dyDescent="0.2">
      <c r="A312" s="74">
        <v>277</v>
      </c>
      <c r="B312" s="60" t="s">
        <v>274</v>
      </c>
      <c r="C312" s="61">
        <v>0.75</v>
      </c>
      <c r="D312" s="61">
        <v>0.4</v>
      </c>
      <c r="E312" s="61">
        <v>0.4</v>
      </c>
      <c r="F312" s="62">
        <v>0.45</v>
      </c>
      <c r="G312" s="63">
        <v>0.45</v>
      </c>
    </row>
    <row r="313" spans="1:7" x14ac:dyDescent="0.2">
      <c r="A313" s="74">
        <v>278</v>
      </c>
      <c r="B313" s="60" t="s">
        <v>275</v>
      </c>
      <c r="C313" s="61">
        <v>0.75</v>
      </c>
      <c r="D313" s="61">
        <v>0.3</v>
      </c>
      <c r="E313" s="61">
        <v>0.3</v>
      </c>
      <c r="F313" s="62">
        <v>0.35</v>
      </c>
      <c r="G313" s="63">
        <v>0.35</v>
      </c>
    </row>
    <row r="314" spans="1:7" x14ac:dyDescent="0.2">
      <c r="A314" s="74">
        <v>280</v>
      </c>
      <c r="B314" s="60" t="s">
        <v>276</v>
      </c>
      <c r="C314" s="61">
        <v>0.75</v>
      </c>
      <c r="D314" s="61">
        <v>0.4</v>
      </c>
      <c r="E314" s="61">
        <v>0.4</v>
      </c>
      <c r="F314" s="62">
        <v>0.45</v>
      </c>
      <c r="G314" s="63">
        <v>0.45</v>
      </c>
    </row>
    <row r="315" spans="1:7" x14ac:dyDescent="0.2">
      <c r="A315" s="74">
        <v>281</v>
      </c>
      <c r="B315" s="60" t="s">
        <v>277</v>
      </c>
      <c r="C315" s="61">
        <v>0.75</v>
      </c>
      <c r="D315" s="61">
        <v>0.3</v>
      </c>
      <c r="E315" s="61">
        <v>0.3</v>
      </c>
      <c r="F315" s="62">
        <v>0.35</v>
      </c>
      <c r="G315" s="63">
        <v>0.35</v>
      </c>
    </row>
    <row r="316" spans="1:7" x14ac:dyDescent="0.2">
      <c r="A316" s="74">
        <v>282</v>
      </c>
      <c r="B316" s="60" t="s">
        <v>278</v>
      </c>
      <c r="C316" s="61">
        <v>0.75</v>
      </c>
      <c r="D316" s="61">
        <v>0.4</v>
      </c>
      <c r="E316" s="61">
        <v>0.4</v>
      </c>
      <c r="F316" s="82">
        <v>0.4</v>
      </c>
      <c r="G316" s="63">
        <v>0.4</v>
      </c>
    </row>
    <row r="317" spans="1:7" x14ac:dyDescent="0.2">
      <c r="A317" s="74">
        <v>283</v>
      </c>
      <c r="B317" s="60" t="s">
        <v>279</v>
      </c>
      <c r="C317" s="61">
        <v>0.75</v>
      </c>
      <c r="D317" s="61">
        <v>0.6</v>
      </c>
      <c r="E317" s="61">
        <v>0.6</v>
      </c>
      <c r="F317" s="62">
        <v>0.65</v>
      </c>
      <c r="G317" s="63">
        <v>0.65</v>
      </c>
    </row>
    <row r="318" spans="1:7" x14ac:dyDescent="0.2">
      <c r="A318" s="74">
        <v>284</v>
      </c>
      <c r="B318" s="60" t="s">
        <v>280</v>
      </c>
      <c r="C318" s="61">
        <v>0.75</v>
      </c>
      <c r="D318" s="61">
        <v>0.7</v>
      </c>
      <c r="E318" s="61">
        <v>0.7</v>
      </c>
      <c r="F318" s="62">
        <v>0.75</v>
      </c>
      <c r="G318" s="63">
        <v>0.75</v>
      </c>
    </row>
    <row r="319" spans="1:7" x14ac:dyDescent="0.2">
      <c r="A319" s="74">
        <v>285</v>
      </c>
      <c r="B319" s="60" t="s">
        <v>281</v>
      </c>
      <c r="C319" s="61">
        <v>0.75</v>
      </c>
      <c r="D319" s="61">
        <v>0.6</v>
      </c>
      <c r="E319" s="61">
        <v>0.6</v>
      </c>
      <c r="F319" s="62">
        <v>0.65</v>
      </c>
      <c r="G319" s="63">
        <v>0.65</v>
      </c>
    </row>
    <row r="320" spans="1:7" x14ac:dyDescent="0.2">
      <c r="A320" s="74">
        <v>286</v>
      </c>
      <c r="B320" s="60" t="s">
        <v>282</v>
      </c>
      <c r="C320" s="61">
        <v>0.75</v>
      </c>
      <c r="D320" s="61">
        <v>0.3</v>
      </c>
      <c r="E320" s="61">
        <v>0.3</v>
      </c>
      <c r="F320" s="62">
        <v>0.35</v>
      </c>
      <c r="G320" s="63">
        <v>0.35</v>
      </c>
    </row>
    <row r="321" spans="1:7" x14ac:dyDescent="0.2">
      <c r="A321" s="74">
        <v>287</v>
      </c>
      <c r="B321" s="60" t="s">
        <v>283</v>
      </c>
      <c r="C321" s="61">
        <v>0.75</v>
      </c>
      <c r="D321" s="61">
        <v>0.3</v>
      </c>
      <c r="E321" s="61">
        <v>0.3</v>
      </c>
      <c r="F321" s="62">
        <v>0.35</v>
      </c>
      <c r="G321" s="63">
        <v>0.35</v>
      </c>
    </row>
    <row r="322" spans="1:7" x14ac:dyDescent="0.2">
      <c r="A322" s="74">
        <v>385</v>
      </c>
      <c r="B322" s="76" t="s">
        <v>284</v>
      </c>
      <c r="C322" s="63"/>
      <c r="D322" s="63"/>
      <c r="E322" s="63"/>
      <c r="F322" s="83">
        <v>1</v>
      </c>
      <c r="G322" s="63">
        <v>1</v>
      </c>
    </row>
    <row r="323" spans="1:7" x14ac:dyDescent="0.2">
      <c r="A323" s="74">
        <v>386</v>
      </c>
      <c r="B323" s="76" t="s">
        <v>285</v>
      </c>
      <c r="C323" s="63"/>
      <c r="D323" s="63"/>
      <c r="E323" s="63"/>
      <c r="F323" s="83">
        <v>1</v>
      </c>
      <c r="G323" s="63">
        <v>1</v>
      </c>
    </row>
    <row r="324" spans="1:7" x14ac:dyDescent="0.2">
      <c r="A324" s="74">
        <v>387</v>
      </c>
      <c r="B324" s="76" t="s">
        <v>286</v>
      </c>
      <c r="C324" s="63"/>
      <c r="D324" s="63"/>
      <c r="E324" s="63"/>
      <c r="F324" s="83">
        <v>1</v>
      </c>
      <c r="G324" s="63">
        <v>1</v>
      </c>
    </row>
    <row r="325" spans="1:7" x14ac:dyDescent="0.2">
      <c r="A325" s="74">
        <v>388</v>
      </c>
      <c r="B325" s="76" t="s">
        <v>287</v>
      </c>
      <c r="C325" s="63"/>
      <c r="D325" s="63"/>
      <c r="E325" s="63"/>
      <c r="F325" s="83">
        <v>1</v>
      </c>
      <c r="G325" s="63">
        <v>1</v>
      </c>
    </row>
    <row r="326" spans="1:7" x14ac:dyDescent="0.2">
      <c r="A326" s="74">
        <v>389</v>
      </c>
      <c r="B326" s="76" t="s">
        <v>288</v>
      </c>
      <c r="C326" s="63"/>
      <c r="D326" s="63"/>
      <c r="E326" s="63"/>
      <c r="F326" s="83">
        <v>1</v>
      </c>
      <c r="G326" s="63">
        <v>1</v>
      </c>
    </row>
    <row r="327" spans="1:7" x14ac:dyDescent="0.2">
      <c r="A327" s="74">
        <v>390</v>
      </c>
      <c r="B327" s="76" t="s">
        <v>289</v>
      </c>
      <c r="C327" s="63"/>
      <c r="D327" s="63"/>
      <c r="E327" s="63"/>
      <c r="F327" s="83">
        <v>1</v>
      </c>
      <c r="G327" s="63">
        <v>1</v>
      </c>
    </row>
    <row r="328" spans="1:7" x14ac:dyDescent="0.2">
      <c r="A328" s="74">
        <v>391</v>
      </c>
      <c r="B328" s="76" t="s">
        <v>290</v>
      </c>
      <c r="C328" s="63"/>
      <c r="D328" s="63"/>
      <c r="E328" s="63"/>
      <c r="F328" s="83">
        <v>1</v>
      </c>
      <c r="G328" s="63">
        <v>1</v>
      </c>
    </row>
    <row r="329" spans="1:7" x14ac:dyDescent="0.2">
      <c r="A329" s="74">
        <v>288</v>
      </c>
      <c r="B329" s="60" t="s">
        <v>291</v>
      </c>
      <c r="C329" s="61">
        <v>0.75</v>
      </c>
      <c r="D329" s="61">
        <v>1</v>
      </c>
      <c r="E329" s="61">
        <v>1</v>
      </c>
      <c r="F329" s="62">
        <v>1.05</v>
      </c>
      <c r="G329" s="63">
        <v>1.05</v>
      </c>
    </row>
    <row r="330" spans="1:7" x14ac:dyDescent="0.2">
      <c r="A330" s="74"/>
      <c r="B330" s="60"/>
      <c r="C330" s="61"/>
      <c r="D330" s="61"/>
      <c r="E330" s="61"/>
      <c r="F330" s="62"/>
      <c r="G330" s="63"/>
    </row>
    <row r="331" spans="1:7" x14ac:dyDescent="0.2">
      <c r="A331" s="74"/>
      <c r="B331" s="60"/>
      <c r="C331" s="61"/>
      <c r="D331" s="61"/>
      <c r="E331" s="61"/>
      <c r="F331" s="62"/>
      <c r="G331" s="68"/>
    </row>
    <row r="332" spans="1:7" x14ac:dyDescent="0.2">
      <c r="A332" s="74"/>
      <c r="B332" s="69" t="s">
        <v>292</v>
      </c>
      <c r="C332" s="66"/>
      <c r="D332" s="66"/>
      <c r="E332" s="66"/>
      <c r="F332" s="70"/>
      <c r="G332" s="86"/>
    </row>
    <row r="333" spans="1:7" x14ac:dyDescent="0.2">
      <c r="A333" s="74">
        <v>291</v>
      </c>
      <c r="B333" s="60" t="s">
        <v>293</v>
      </c>
      <c r="C333" s="61">
        <v>0.75</v>
      </c>
      <c r="D333" s="61">
        <v>0.4</v>
      </c>
      <c r="E333" s="61">
        <v>0.4</v>
      </c>
      <c r="F333" s="82">
        <v>0.4</v>
      </c>
      <c r="G333" s="63">
        <v>0.4</v>
      </c>
    </row>
    <row r="334" spans="1:7" x14ac:dyDescent="0.2">
      <c r="A334" s="74">
        <v>292</v>
      </c>
      <c r="B334" s="60" t="s">
        <v>294</v>
      </c>
      <c r="C334" s="61">
        <v>0.75</v>
      </c>
      <c r="D334" s="61">
        <v>1</v>
      </c>
      <c r="E334" s="61">
        <v>1.05</v>
      </c>
      <c r="F334" s="62">
        <v>1.1000000000000001</v>
      </c>
      <c r="G334" s="63">
        <v>1.1000000000000001</v>
      </c>
    </row>
    <row r="335" spans="1:7" x14ac:dyDescent="0.2">
      <c r="A335" s="74"/>
      <c r="B335" s="60"/>
      <c r="C335" s="61"/>
      <c r="D335" s="61"/>
      <c r="E335" s="61"/>
      <c r="F335" s="62"/>
      <c r="G335" s="63"/>
    </row>
    <row r="336" spans="1:7" x14ac:dyDescent="0.2">
      <c r="A336" s="74"/>
      <c r="B336" s="60"/>
      <c r="C336" s="61"/>
      <c r="D336" s="61"/>
      <c r="E336" s="61"/>
      <c r="F336" s="62"/>
      <c r="G336" s="63"/>
    </row>
    <row r="337" spans="1:7" x14ac:dyDescent="0.2">
      <c r="A337" s="74">
        <v>294</v>
      </c>
      <c r="B337" s="69" t="s">
        <v>295</v>
      </c>
      <c r="C337" s="61">
        <v>0.75</v>
      </c>
      <c r="D337" s="61">
        <v>1</v>
      </c>
      <c r="E337" s="61">
        <v>1.05</v>
      </c>
      <c r="F337" s="62">
        <v>1.1000000000000001</v>
      </c>
      <c r="G337" s="63">
        <v>1.1000000000000001</v>
      </c>
    </row>
    <row r="338" spans="1:7" x14ac:dyDescent="0.2">
      <c r="A338" s="74"/>
      <c r="B338" s="60"/>
      <c r="C338" s="61"/>
      <c r="D338" s="61"/>
      <c r="E338" s="61"/>
      <c r="F338" s="62"/>
      <c r="G338" s="63"/>
    </row>
    <row r="339" spans="1:7" x14ac:dyDescent="0.2">
      <c r="A339" s="74"/>
      <c r="B339" s="60"/>
      <c r="C339" s="61"/>
      <c r="D339" s="61"/>
      <c r="E339" s="61"/>
      <c r="F339" s="62"/>
      <c r="G339" s="68"/>
    </row>
    <row r="340" spans="1:7" x14ac:dyDescent="0.2">
      <c r="A340" s="74"/>
      <c r="B340" s="69" t="s">
        <v>296</v>
      </c>
      <c r="C340" s="66"/>
      <c r="D340" s="66"/>
      <c r="E340" s="66"/>
      <c r="F340" s="70"/>
      <c r="G340" s="63"/>
    </row>
    <row r="341" spans="1:7" x14ac:dyDescent="0.2">
      <c r="A341" s="74">
        <v>295</v>
      </c>
      <c r="B341" s="60" t="s">
        <v>297</v>
      </c>
      <c r="C341" s="66">
        <v>0.75</v>
      </c>
      <c r="D341" s="66">
        <v>0.7</v>
      </c>
      <c r="E341" s="66">
        <v>0.7</v>
      </c>
      <c r="F341" s="62">
        <v>0.75</v>
      </c>
      <c r="G341" s="63">
        <v>0.75</v>
      </c>
    </row>
    <row r="342" spans="1:7" x14ac:dyDescent="0.2">
      <c r="A342" s="74">
        <v>392</v>
      </c>
      <c r="B342" s="76" t="s">
        <v>298</v>
      </c>
      <c r="C342" s="63"/>
      <c r="D342" s="63"/>
      <c r="E342" s="63"/>
      <c r="F342" s="83">
        <v>1</v>
      </c>
      <c r="G342" s="63">
        <v>1</v>
      </c>
    </row>
    <row r="343" spans="1:7" x14ac:dyDescent="0.2">
      <c r="A343" s="74">
        <v>393</v>
      </c>
      <c r="B343" s="76" t="s">
        <v>299</v>
      </c>
      <c r="C343" s="63"/>
      <c r="D343" s="63"/>
      <c r="E343" s="63"/>
      <c r="F343" s="83">
        <v>1.55</v>
      </c>
      <c r="G343" s="63">
        <v>1.55</v>
      </c>
    </row>
    <row r="344" spans="1:7" x14ac:dyDescent="0.2">
      <c r="A344" s="74">
        <v>298</v>
      </c>
      <c r="B344" s="60" t="s">
        <v>300</v>
      </c>
      <c r="C344" s="61">
        <v>0.75</v>
      </c>
      <c r="D344" s="61">
        <v>1</v>
      </c>
      <c r="E344" s="61">
        <v>1</v>
      </c>
      <c r="F344" s="62">
        <v>1.05</v>
      </c>
      <c r="G344" s="63">
        <v>1.05</v>
      </c>
    </row>
    <row r="345" spans="1:7" x14ac:dyDescent="0.2">
      <c r="A345" s="74"/>
      <c r="B345" s="60"/>
      <c r="C345" s="61"/>
      <c r="D345" s="61"/>
      <c r="E345" s="61"/>
      <c r="F345" s="62"/>
      <c r="G345" s="63"/>
    </row>
    <row r="346" spans="1:7" x14ac:dyDescent="0.2">
      <c r="A346" s="74"/>
      <c r="B346" s="60"/>
      <c r="C346" s="61"/>
      <c r="D346" s="61"/>
      <c r="E346" s="61"/>
      <c r="F346" s="62"/>
      <c r="G346" s="68"/>
    </row>
    <row r="347" spans="1:7" x14ac:dyDescent="0.2">
      <c r="A347" s="74"/>
      <c r="B347" s="69" t="s">
        <v>301</v>
      </c>
      <c r="C347" s="66"/>
      <c r="D347" s="66"/>
      <c r="E347" s="66"/>
      <c r="F347" s="70"/>
      <c r="G347" s="63"/>
    </row>
    <row r="348" spans="1:7" x14ac:dyDescent="0.2">
      <c r="A348" s="74"/>
      <c r="B348" s="60" t="s">
        <v>302</v>
      </c>
      <c r="C348" s="61"/>
      <c r="D348" s="61"/>
      <c r="E348" s="61"/>
      <c r="F348" s="62"/>
      <c r="G348" s="63"/>
    </row>
    <row r="349" spans="1:7" x14ac:dyDescent="0.2">
      <c r="A349" s="74">
        <v>299</v>
      </c>
      <c r="B349" s="77" t="s">
        <v>303</v>
      </c>
      <c r="C349" s="61">
        <v>0.75</v>
      </c>
      <c r="D349" s="61">
        <v>0.4</v>
      </c>
      <c r="E349" s="61">
        <v>0.4</v>
      </c>
      <c r="F349" s="62">
        <v>0.45</v>
      </c>
      <c r="G349" s="63">
        <v>0.45</v>
      </c>
    </row>
    <row r="350" spans="1:7" x14ac:dyDescent="0.2">
      <c r="A350" s="74">
        <v>394</v>
      </c>
      <c r="B350" s="77" t="s">
        <v>304</v>
      </c>
      <c r="C350" s="63"/>
      <c r="D350" s="63"/>
      <c r="E350" s="63"/>
      <c r="F350" s="83">
        <v>0.9</v>
      </c>
      <c r="G350" s="63">
        <v>0.9</v>
      </c>
    </row>
    <row r="351" spans="1:7" x14ac:dyDescent="0.2">
      <c r="A351" s="74">
        <v>300</v>
      </c>
      <c r="B351" s="77" t="s">
        <v>305</v>
      </c>
      <c r="C351" s="61">
        <v>0.75</v>
      </c>
      <c r="D351" s="61">
        <v>1</v>
      </c>
      <c r="E351" s="61">
        <v>1.05</v>
      </c>
      <c r="F351" s="62">
        <v>1.1000000000000001</v>
      </c>
      <c r="G351" s="63">
        <v>1.1000000000000001</v>
      </c>
    </row>
    <row r="352" spans="1:7" x14ac:dyDescent="0.2">
      <c r="A352" s="74">
        <v>310</v>
      </c>
      <c r="B352" s="60" t="s">
        <v>306</v>
      </c>
      <c r="C352" s="61">
        <v>0.75</v>
      </c>
      <c r="D352" s="61">
        <v>1</v>
      </c>
      <c r="E352" s="61">
        <v>1.05</v>
      </c>
      <c r="F352" s="62">
        <v>1.1000000000000001</v>
      </c>
      <c r="G352" s="63">
        <v>1.1000000000000001</v>
      </c>
    </row>
    <row r="353" spans="1:7" x14ac:dyDescent="0.2">
      <c r="A353" s="74"/>
      <c r="B353" s="60" t="s">
        <v>307</v>
      </c>
      <c r="C353" s="61"/>
      <c r="D353" s="61"/>
      <c r="E353" s="61"/>
      <c r="F353" s="62"/>
      <c r="G353" s="86"/>
    </row>
    <row r="354" spans="1:7" x14ac:dyDescent="0.2">
      <c r="A354" s="74">
        <v>306</v>
      </c>
      <c r="B354" s="77" t="s">
        <v>308</v>
      </c>
      <c r="C354" s="61"/>
      <c r="D354" s="61">
        <v>0.6</v>
      </c>
      <c r="E354" s="61">
        <v>0.6</v>
      </c>
      <c r="F354" s="62">
        <v>0.65</v>
      </c>
      <c r="G354" s="63">
        <v>0.65</v>
      </c>
    </row>
    <row r="355" spans="1:7" x14ac:dyDescent="0.2">
      <c r="A355" s="74">
        <v>307</v>
      </c>
      <c r="B355" s="77" t="s">
        <v>309</v>
      </c>
      <c r="C355" s="61"/>
      <c r="D355" s="61">
        <v>0.3</v>
      </c>
      <c r="E355" s="61">
        <v>0</v>
      </c>
      <c r="F355" s="62">
        <v>0</v>
      </c>
      <c r="G355" s="63">
        <v>0</v>
      </c>
    </row>
    <row r="356" spans="1:7" x14ac:dyDescent="0.2">
      <c r="A356" s="74">
        <v>308</v>
      </c>
      <c r="B356" s="77" t="s">
        <v>310</v>
      </c>
      <c r="C356" s="61"/>
      <c r="D356" s="61">
        <v>0.8</v>
      </c>
      <c r="E356" s="61">
        <v>0</v>
      </c>
      <c r="F356" s="62">
        <v>0</v>
      </c>
      <c r="G356" s="63">
        <v>0</v>
      </c>
    </row>
    <row r="357" spans="1:7" x14ac:dyDescent="0.2">
      <c r="A357" s="74">
        <v>309</v>
      </c>
      <c r="B357" s="77" t="s">
        <v>311</v>
      </c>
      <c r="C357" s="61">
        <v>0.75</v>
      </c>
      <c r="D357" s="61">
        <v>1</v>
      </c>
      <c r="E357" s="61">
        <v>1</v>
      </c>
      <c r="F357" s="62">
        <v>1.05</v>
      </c>
      <c r="G357" s="63">
        <v>1.05</v>
      </c>
    </row>
    <row r="358" spans="1:7" x14ac:dyDescent="0.2">
      <c r="A358" s="74">
        <v>313</v>
      </c>
      <c r="B358" s="60" t="s">
        <v>312</v>
      </c>
      <c r="C358" s="61">
        <v>0.75</v>
      </c>
      <c r="D358" s="61">
        <v>1</v>
      </c>
      <c r="E358" s="61">
        <v>1.05</v>
      </c>
      <c r="F358" s="62">
        <v>1.1000000000000001</v>
      </c>
      <c r="G358" s="63">
        <v>1.1000000000000001</v>
      </c>
    </row>
    <row r="359" spans="1:7" x14ac:dyDescent="0.2">
      <c r="A359" s="74"/>
      <c r="B359" s="60" t="s">
        <v>313</v>
      </c>
      <c r="C359" s="61">
        <v>0.75</v>
      </c>
      <c r="D359" s="61"/>
      <c r="E359" s="61"/>
      <c r="F359" s="62"/>
      <c r="G359" s="86"/>
    </row>
    <row r="360" spans="1:7" x14ac:dyDescent="0.2">
      <c r="A360" s="74">
        <v>395</v>
      </c>
      <c r="B360" s="77" t="s">
        <v>314</v>
      </c>
      <c r="C360" s="63"/>
      <c r="D360" s="63"/>
      <c r="E360" s="63"/>
      <c r="F360" s="83">
        <v>0.9</v>
      </c>
      <c r="G360" s="63">
        <v>0.9</v>
      </c>
    </row>
    <row r="361" spans="1:7" x14ac:dyDescent="0.2">
      <c r="A361" s="74">
        <v>315</v>
      </c>
      <c r="B361" s="84" t="s">
        <v>315</v>
      </c>
      <c r="C361" s="61">
        <v>0.75</v>
      </c>
      <c r="D361" s="61">
        <v>1</v>
      </c>
      <c r="E361" s="61">
        <v>1.05</v>
      </c>
      <c r="F361" s="62">
        <v>1.1000000000000001</v>
      </c>
      <c r="G361" s="63">
        <v>1.1000000000000001</v>
      </c>
    </row>
    <row r="362" spans="1:7" x14ac:dyDescent="0.2">
      <c r="A362" s="74">
        <v>316</v>
      </c>
      <c r="B362" s="60" t="s">
        <v>316</v>
      </c>
      <c r="C362" s="61">
        <v>0.75</v>
      </c>
      <c r="D362" s="61">
        <v>1</v>
      </c>
      <c r="E362" s="61">
        <v>1.05</v>
      </c>
      <c r="F362" s="62">
        <v>1.1000000000000001</v>
      </c>
      <c r="G362" s="63">
        <v>1.1000000000000001</v>
      </c>
    </row>
    <row r="363" spans="1:7" x14ac:dyDescent="0.2">
      <c r="A363" s="74">
        <v>317</v>
      </c>
      <c r="B363" s="60" t="s">
        <v>317</v>
      </c>
      <c r="C363" s="61">
        <v>0.75</v>
      </c>
      <c r="D363" s="61">
        <v>1</v>
      </c>
      <c r="E363" s="61">
        <v>1.05</v>
      </c>
      <c r="F363" s="83">
        <v>1.1000000000000001</v>
      </c>
      <c r="G363" s="63">
        <v>1.1000000000000001</v>
      </c>
    </row>
    <row r="364" spans="1:7" x14ac:dyDescent="0.2">
      <c r="A364" s="74"/>
      <c r="B364" s="60"/>
      <c r="C364" s="61"/>
      <c r="D364" s="61"/>
      <c r="E364" s="61"/>
      <c r="F364" s="62"/>
      <c r="G364" s="63"/>
    </row>
    <row r="365" spans="1:7" x14ac:dyDescent="0.2">
      <c r="A365" s="74"/>
      <c r="B365" s="60"/>
      <c r="C365" s="61"/>
      <c r="D365" s="61"/>
      <c r="E365" s="61"/>
      <c r="F365" s="62"/>
      <c r="G365" s="68"/>
    </row>
    <row r="366" spans="1:7" x14ac:dyDescent="0.2">
      <c r="A366" s="74"/>
      <c r="B366" s="69" t="s">
        <v>318</v>
      </c>
      <c r="C366" s="66"/>
      <c r="D366" s="66"/>
      <c r="E366" s="66"/>
      <c r="F366" s="70"/>
      <c r="G366" s="63"/>
    </row>
    <row r="367" spans="1:7" x14ac:dyDescent="0.2">
      <c r="A367" s="74"/>
      <c r="B367" s="60" t="s">
        <v>319</v>
      </c>
      <c r="C367" s="61"/>
      <c r="D367" s="61"/>
      <c r="E367" s="61"/>
      <c r="F367" s="62"/>
      <c r="G367" s="63"/>
    </row>
    <row r="368" spans="1:7" x14ac:dyDescent="0.2">
      <c r="A368" s="74">
        <v>318</v>
      </c>
      <c r="B368" s="77" t="s">
        <v>320</v>
      </c>
      <c r="C368" s="61"/>
      <c r="D368" s="61">
        <v>5</v>
      </c>
      <c r="E368" s="61">
        <v>5.0999999999999996</v>
      </c>
      <c r="F368" s="62">
        <v>5.25</v>
      </c>
      <c r="G368" s="63">
        <v>5.4</v>
      </c>
    </row>
    <row r="369" spans="1:7" x14ac:dyDescent="0.2">
      <c r="A369" s="74">
        <v>319</v>
      </c>
      <c r="B369" s="77" t="s">
        <v>321</v>
      </c>
      <c r="C369" s="61">
        <v>3.2421863309424288</v>
      </c>
      <c r="D369" s="61">
        <v>4.5</v>
      </c>
      <c r="E369" s="61">
        <v>4.5999999999999996</v>
      </c>
      <c r="F369" s="62">
        <v>4.75</v>
      </c>
      <c r="G369" s="63">
        <v>4.8499999999999996</v>
      </c>
    </row>
    <row r="370" spans="1:7" x14ac:dyDescent="0.2">
      <c r="A370" s="74">
        <v>320</v>
      </c>
      <c r="B370" s="77" t="s">
        <v>322</v>
      </c>
      <c r="C370" s="61">
        <v>0.75</v>
      </c>
      <c r="D370" s="61">
        <v>1</v>
      </c>
      <c r="E370" s="61">
        <v>1.05</v>
      </c>
      <c r="F370" s="62">
        <v>1.1000000000000001</v>
      </c>
      <c r="G370" s="63">
        <v>1.1000000000000001</v>
      </c>
    </row>
    <row r="371" spans="1:7" x14ac:dyDescent="0.2">
      <c r="A371" s="74">
        <v>396</v>
      </c>
      <c r="B371" s="77" t="s">
        <v>323</v>
      </c>
      <c r="C371" s="63"/>
      <c r="D371" s="63"/>
      <c r="E371" s="63"/>
      <c r="F371" s="83">
        <v>1.1000000000000001</v>
      </c>
      <c r="G371" s="63">
        <v>1.1000000000000001</v>
      </c>
    </row>
    <row r="372" spans="1:7" x14ac:dyDescent="0.2">
      <c r="A372" s="74">
        <v>321</v>
      </c>
      <c r="B372" s="77" t="s">
        <v>324</v>
      </c>
      <c r="C372" s="61"/>
      <c r="D372" s="61">
        <v>5</v>
      </c>
      <c r="E372" s="61">
        <v>5.0999999999999996</v>
      </c>
      <c r="F372" s="62">
        <v>5.25</v>
      </c>
      <c r="G372" s="63">
        <v>5.4</v>
      </c>
    </row>
    <row r="373" spans="1:7" x14ac:dyDescent="0.2">
      <c r="A373" s="74">
        <v>322</v>
      </c>
      <c r="B373" s="77" t="s">
        <v>325</v>
      </c>
      <c r="C373" s="61"/>
      <c r="D373" s="61">
        <v>3.2</v>
      </c>
      <c r="E373" s="61">
        <v>3.3</v>
      </c>
      <c r="F373" s="62">
        <v>3.4</v>
      </c>
      <c r="G373" s="63">
        <v>3.5</v>
      </c>
    </row>
    <row r="374" spans="1:7" x14ac:dyDescent="0.2">
      <c r="A374" s="74"/>
      <c r="B374" s="60" t="s">
        <v>326</v>
      </c>
      <c r="C374" s="61"/>
      <c r="D374" s="61"/>
      <c r="E374" s="61"/>
      <c r="F374" s="62"/>
      <c r="G374" s="63"/>
    </row>
    <row r="375" spans="1:7" x14ac:dyDescent="0.2">
      <c r="A375" s="74">
        <v>323</v>
      </c>
      <c r="B375" s="77" t="s">
        <v>327</v>
      </c>
      <c r="C375" s="61"/>
      <c r="D375" s="61">
        <v>0</v>
      </c>
      <c r="E375" s="61">
        <v>0</v>
      </c>
      <c r="F375" s="62">
        <v>0</v>
      </c>
      <c r="G375" s="63">
        <v>0</v>
      </c>
    </row>
    <row r="376" spans="1:7" x14ac:dyDescent="0.2">
      <c r="A376" s="74">
        <v>324</v>
      </c>
      <c r="B376" s="77" t="s">
        <v>328</v>
      </c>
      <c r="C376" s="61"/>
      <c r="D376" s="61">
        <v>5</v>
      </c>
      <c r="E376" s="61">
        <v>5.0999999999999996</v>
      </c>
      <c r="F376" s="62">
        <v>5.25</v>
      </c>
      <c r="G376" s="63">
        <v>5.4</v>
      </c>
    </row>
    <row r="377" spans="1:7" x14ac:dyDescent="0.2">
      <c r="A377" s="74">
        <v>327</v>
      </c>
      <c r="B377" s="77" t="s">
        <v>329</v>
      </c>
      <c r="C377" s="61"/>
      <c r="D377" s="61">
        <v>5</v>
      </c>
      <c r="E377" s="61">
        <v>5.0999999999999996</v>
      </c>
      <c r="F377" s="62">
        <v>5.25</v>
      </c>
      <c r="G377" s="63">
        <v>5.4</v>
      </c>
    </row>
    <row r="378" spans="1:7" x14ac:dyDescent="0.2">
      <c r="A378" s="74">
        <v>328</v>
      </c>
      <c r="B378" s="77" t="s">
        <v>330</v>
      </c>
      <c r="C378" s="61"/>
      <c r="D378" s="61">
        <v>5</v>
      </c>
      <c r="E378" s="61">
        <v>5.0999999999999996</v>
      </c>
      <c r="F378" s="62">
        <v>5.25</v>
      </c>
      <c r="G378" s="63">
        <v>5.4</v>
      </c>
    </row>
    <row r="379" spans="1:7" x14ac:dyDescent="0.2">
      <c r="A379" s="74">
        <v>329</v>
      </c>
      <c r="B379" s="77" t="s">
        <v>331</v>
      </c>
      <c r="C379" s="61"/>
      <c r="D379" s="61">
        <v>5</v>
      </c>
      <c r="E379" s="61">
        <v>5.0999999999999996</v>
      </c>
      <c r="F379" s="62">
        <v>5.25</v>
      </c>
      <c r="G379" s="63">
        <v>5.4</v>
      </c>
    </row>
    <row r="380" spans="1:7" x14ac:dyDescent="0.2">
      <c r="A380" s="74">
        <v>331</v>
      </c>
      <c r="B380" s="77" t="s">
        <v>51</v>
      </c>
      <c r="C380" s="61"/>
      <c r="D380" s="61">
        <v>0</v>
      </c>
      <c r="E380" s="61">
        <v>0</v>
      </c>
      <c r="F380" s="62">
        <v>0</v>
      </c>
      <c r="G380" s="63">
        <v>0</v>
      </c>
    </row>
    <row r="381" spans="1:7" x14ac:dyDescent="0.2">
      <c r="A381" s="74">
        <v>333</v>
      </c>
      <c r="B381" s="77" t="s">
        <v>332</v>
      </c>
      <c r="C381" s="61"/>
      <c r="D381" s="61">
        <v>5</v>
      </c>
      <c r="E381" s="61">
        <v>5.0999999999999996</v>
      </c>
      <c r="F381" s="62">
        <v>5.25</v>
      </c>
      <c r="G381" s="63">
        <v>5.4</v>
      </c>
    </row>
    <row r="382" spans="1:7" x14ac:dyDescent="0.2">
      <c r="A382" s="74">
        <v>334</v>
      </c>
      <c r="B382" s="77" t="s">
        <v>333</v>
      </c>
      <c r="C382" s="61"/>
      <c r="D382" s="61">
        <v>1</v>
      </c>
      <c r="E382" s="61">
        <v>1.05</v>
      </c>
      <c r="F382" s="62">
        <v>1.1000000000000001</v>
      </c>
      <c r="G382" s="63">
        <v>1.1000000000000001</v>
      </c>
    </row>
    <row r="383" spans="1:7" x14ac:dyDescent="0.2">
      <c r="A383" s="74">
        <v>335</v>
      </c>
      <c r="B383" s="77" t="s">
        <v>334</v>
      </c>
      <c r="C383" s="61"/>
      <c r="D383" s="61">
        <v>1</v>
      </c>
      <c r="E383" s="61">
        <v>1.05</v>
      </c>
      <c r="F383" s="62">
        <v>1.1000000000000001</v>
      </c>
      <c r="G383" s="63">
        <v>1.1000000000000001</v>
      </c>
    </row>
    <row r="384" spans="1:7" x14ac:dyDescent="0.2">
      <c r="A384" s="74">
        <v>336</v>
      </c>
      <c r="B384" s="77" t="s">
        <v>335</v>
      </c>
      <c r="C384" s="61"/>
      <c r="D384" s="61">
        <v>1.9</v>
      </c>
      <c r="E384" s="61">
        <v>1.95</v>
      </c>
      <c r="F384" s="62">
        <v>1</v>
      </c>
      <c r="G384" s="63">
        <v>1</v>
      </c>
    </row>
    <row r="385" spans="1:7" x14ac:dyDescent="0.2">
      <c r="A385" s="74">
        <v>337</v>
      </c>
      <c r="B385" s="77" t="s">
        <v>336</v>
      </c>
      <c r="C385" s="61"/>
      <c r="D385" s="61">
        <v>5</v>
      </c>
      <c r="E385" s="61">
        <v>5.0999999999999996</v>
      </c>
      <c r="F385" s="62">
        <v>5.25</v>
      </c>
      <c r="G385" s="63">
        <v>5.4</v>
      </c>
    </row>
    <row r="386" spans="1:7" x14ac:dyDescent="0.2">
      <c r="A386" s="74"/>
      <c r="B386" s="60"/>
      <c r="C386" s="61"/>
      <c r="D386" s="61"/>
      <c r="E386" s="61"/>
      <c r="F386" s="62"/>
      <c r="G386" s="63"/>
    </row>
    <row r="387" spans="1:7" x14ac:dyDescent="0.2">
      <c r="A387" s="74"/>
      <c r="B387" s="60"/>
      <c r="C387" s="61"/>
      <c r="D387" s="61"/>
      <c r="E387" s="61"/>
      <c r="F387" s="62"/>
      <c r="G387" s="68"/>
    </row>
    <row r="388" spans="1:7" x14ac:dyDescent="0.2">
      <c r="A388" s="74"/>
      <c r="B388" s="69" t="s">
        <v>337</v>
      </c>
      <c r="C388" s="66"/>
      <c r="D388" s="66"/>
      <c r="E388" s="66"/>
      <c r="F388" s="70"/>
      <c r="G388" s="63"/>
    </row>
    <row r="389" spans="1:7" x14ac:dyDescent="0.2">
      <c r="A389" s="74">
        <v>338</v>
      </c>
      <c r="B389" s="60" t="s">
        <v>338</v>
      </c>
      <c r="C389" s="61"/>
      <c r="D389" s="61">
        <v>1</v>
      </c>
      <c r="E389" s="61">
        <v>1.05</v>
      </c>
      <c r="F389" s="62">
        <v>1.1000000000000001</v>
      </c>
      <c r="G389" s="63">
        <v>1.1000000000000001</v>
      </c>
    </row>
    <row r="390" spans="1:7" x14ac:dyDescent="0.2">
      <c r="A390" s="74">
        <v>339</v>
      </c>
      <c r="B390" s="60" t="s">
        <v>339</v>
      </c>
      <c r="C390" s="61"/>
      <c r="D390" s="61">
        <v>5</v>
      </c>
      <c r="E390" s="61">
        <v>5.0999999999999996</v>
      </c>
      <c r="F390" s="62">
        <v>5.25</v>
      </c>
      <c r="G390" s="63">
        <v>5.4</v>
      </c>
    </row>
    <row r="391" spans="1:7" x14ac:dyDescent="0.2">
      <c r="A391" s="74">
        <v>340</v>
      </c>
      <c r="B391" s="60" t="s">
        <v>340</v>
      </c>
      <c r="C391" s="61"/>
      <c r="D391" s="61">
        <v>5</v>
      </c>
      <c r="E391" s="61">
        <v>5.0999999999999996</v>
      </c>
      <c r="F391" s="62">
        <v>5.0999999999999996</v>
      </c>
      <c r="G391" s="63">
        <v>5.0999999999999996</v>
      </c>
    </row>
    <row r="392" spans="1:7" x14ac:dyDescent="0.2">
      <c r="A392" s="74">
        <v>341</v>
      </c>
      <c r="B392" s="60" t="s">
        <v>341</v>
      </c>
      <c r="C392" s="61"/>
      <c r="D392" s="61">
        <v>5</v>
      </c>
      <c r="E392" s="61">
        <v>5.0999999999999996</v>
      </c>
      <c r="F392" s="62">
        <v>5.25</v>
      </c>
      <c r="G392" s="63">
        <v>5.4</v>
      </c>
    </row>
    <row r="393" spans="1:7" x14ac:dyDescent="0.2">
      <c r="A393" s="74">
        <v>342</v>
      </c>
      <c r="B393" s="60" t="s">
        <v>342</v>
      </c>
      <c r="C393" s="61"/>
      <c r="D393" s="61">
        <v>5</v>
      </c>
      <c r="E393" s="61">
        <v>5.0999999999999996</v>
      </c>
      <c r="F393" s="62">
        <v>5.25</v>
      </c>
      <c r="G393" s="63">
        <v>5.4</v>
      </c>
    </row>
    <row r="394" spans="1:7" x14ac:dyDescent="0.2">
      <c r="A394" s="74">
        <v>343</v>
      </c>
      <c r="B394" s="60" t="s">
        <v>343</v>
      </c>
      <c r="C394" s="61"/>
      <c r="D394" s="61">
        <v>2.8</v>
      </c>
      <c r="E394" s="61">
        <v>2.9</v>
      </c>
      <c r="F394" s="62">
        <v>3</v>
      </c>
      <c r="G394" s="63">
        <v>3.05</v>
      </c>
    </row>
    <row r="395" spans="1:7" x14ac:dyDescent="0.2">
      <c r="A395" s="74"/>
      <c r="B395" s="60"/>
      <c r="C395" s="61"/>
      <c r="D395" s="61"/>
      <c r="E395" s="61"/>
      <c r="F395" s="62"/>
      <c r="G395" s="63"/>
    </row>
    <row r="396" spans="1:7" x14ac:dyDescent="0.2">
      <c r="A396" s="74"/>
      <c r="B396" s="60"/>
      <c r="C396" s="61"/>
      <c r="D396" s="61"/>
      <c r="E396" s="61"/>
      <c r="F396" s="62"/>
      <c r="G396" s="68"/>
    </row>
    <row r="397" spans="1:7" x14ac:dyDescent="0.2">
      <c r="A397" s="74"/>
      <c r="B397" s="69" t="s">
        <v>344</v>
      </c>
      <c r="C397" s="66"/>
      <c r="D397" s="66"/>
      <c r="E397" s="66"/>
      <c r="F397" s="70"/>
      <c r="G397" s="63"/>
    </row>
    <row r="398" spans="1:7" x14ac:dyDescent="0.2">
      <c r="A398" s="74">
        <v>344</v>
      </c>
      <c r="B398" s="60" t="s">
        <v>345</v>
      </c>
      <c r="C398" s="61">
        <v>149.34</v>
      </c>
      <c r="D398" s="61">
        <v>59</v>
      </c>
      <c r="E398" s="61">
        <v>60.4</v>
      </c>
      <c r="F398" s="62">
        <v>62.2</v>
      </c>
      <c r="G398" s="63">
        <v>63.5</v>
      </c>
    </row>
    <row r="399" spans="1:7" ht="24" x14ac:dyDescent="0.2">
      <c r="A399" s="74">
        <v>350</v>
      </c>
      <c r="B399" s="60" t="s">
        <v>346</v>
      </c>
      <c r="C399" s="61"/>
      <c r="D399" s="61">
        <v>0</v>
      </c>
      <c r="E399" s="61">
        <v>0</v>
      </c>
      <c r="F399" s="62">
        <v>0</v>
      </c>
      <c r="G399" s="63">
        <v>0</v>
      </c>
    </row>
    <row r="400" spans="1:7" x14ac:dyDescent="0.2">
      <c r="A400" s="74">
        <v>361</v>
      </c>
      <c r="B400" s="60" t="s">
        <v>347</v>
      </c>
      <c r="C400" s="61"/>
      <c r="D400" s="61">
        <v>0</v>
      </c>
      <c r="E400" s="61">
        <v>0</v>
      </c>
      <c r="F400" s="62">
        <v>0</v>
      </c>
      <c r="G400" s="63">
        <v>0</v>
      </c>
    </row>
    <row r="401" spans="1:7" x14ac:dyDescent="0.2">
      <c r="A401" s="74">
        <v>362</v>
      </c>
      <c r="B401" s="60" t="s">
        <v>348</v>
      </c>
      <c r="C401" s="61"/>
      <c r="D401" s="61">
        <v>3.8</v>
      </c>
      <c r="E401" s="61">
        <v>3.9</v>
      </c>
      <c r="F401" s="62">
        <v>4</v>
      </c>
      <c r="G401" s="63">
        <v>4.0999999999999996</v>
      </c>
    </row>
    <row r="402" spans="1:7" x14ac:dyDescent="0.2">
      <c r="A402" s="74">
        <v>363</v>
      </c>
      <c r="B402" s="60" t="s">
        <v>349</v>
      </c>
      <c r="C402" s="61"/>
      <c r="D402" s="61">
        <v>3.6</v>
      </c>
      <c r="E402" s="61">
        <v>3.7</v>
      </c>
      <c r="F402" s="62">
        <v>3.8</v>
      </c>
      <c r="G402" s="63">
        <v>3.9</v>
      </c>
    </row>
    <row r="403" spans="1:7" x14ac:dyDescent="0.2">
      <c r="A403" s="74">
        <v>364</v>
      </c>
      <c r="B403" s="60" t="s">
        <v>350</v>
      </c>
      <c r="C403" s="61"/>
      <c r="D403" s="61">
        <v>3.6</v>
      </c>
      <c r="E403" s="61">
        <v>3.7</v>
      </c>
      <c r="F403" s="62">
        <v>3.8</v>
      </c>
      <c r="G403" s="63">
        <v>3.9</v>
      </c>
    </row>
    <row r="404" spans="1:7" x14ac:dyDescent="0.2">
      <c r="A404" s="74">
        <v>365</v>
      </c>
      <c r="B404" s="60" t="s">
        <v>351</v>
      </c>
      <c r="C404" s="61"/>
      <c r="D404" s="61">
        <v>3.6</v>
      </c>
      <c r="E404" s="61">
        <v>3.7</v>
      </c>
      <c r="F404" s="62">
        <v>3.8</v>
      </c>
      <c r="G404" s="63">
        <v>3.9</v>
      </c>
    </row>
    <row r="405" spans="1:7" x14ac:dyDescent="0.2">
      <c r="A405" s="74">
        <v>366</v>
      </c>
      <c r="B405" s="60" t="s">
        <v>352</v>
      </c>
      <c r="C405" s="61"/>
      <c r="D405" s="61">
        <v>3.6</v>
      </c>
      <c r="E405" s="61">
        <v>3.7</v>
      </c>
      <c r="F405" s="62">
        <v>3.8</v>
      </c>
      <c r="G405" s="63">
        <v>3.9</v>
      </c>
    </row>
    <row r="406" spans="1:7" x14ac:dyDescent="0.2">
      <c r="A406" s="74">
        <v>367</v>
      </c>
      <c r="B406" s="60" t="s">
        <v>353</v>
      </c>
      <c r="C406" s="61"/>
      <c r="D406" s="61">
        <v>0</v>
      </c>
      <c r="E406" s="61">
        <v>0</v>
      </c>
      <c r="F406" s="62">
        <v>0</v>
      </c>
      <c r="G406" s="63">
        <v>0</v>
      </c>
    </row>
    <row r="407" spans="1:7" x14ac:dyDescent="0.2">
      <c r="A407" s="74">
        <v>368</v>
      </c>
      <c r="B407" s="60" t="s">
        <v>354</v>
      </c>
      <c r="C407" s="61"/>
      <c r="D407" s="61">
        <v>2.7</v>
      </c>
      <c r="E407" s="61">
        <v>2.75</v>
      </c>
      <c r="F407" s="62">
        <v>3.45</v>
      </c>
      <c r="G407" s="63">
        <v>3.5</v>
      </c>
    </row>
    <row r="408" spans="1:7" x14ac:dyDescent="0.2">
      <c r="A408" s="74">
        <v>369</v>
      </c>
      <c r="B408" s="60" t="s">
        <v>355</v>
      </c>
      <c r="C408" s="61">
        <v>1.75</v>
      </c>
      <c r="D408" s="61">
        <v>2.4</v>
      </c>
      <c r="E408" s="61">
        <v>2.4500000000000002</v>
      </c>
      <c r="F408" s="62">
        <v>2.5499999999999998</v>
      </c>
      <c r="G408" s="63">
        <v>2.6</v>
      </c>
    </row>
    <row r="409" spans="1:7" x14ac:dyDescent="0.2">
      <c r="A409" s="74">
        <v>370</v>
      </c>
      <c r="B409" s="60" t="s">
        <v>356</v>
      </c>
      <c r="C409" s="61"/>
      <c r="D409" s="61">
        <v>1.7</v>
      </c>
      <c r="E409" s="61">
        <v>1.75</v>
      </c>
      <c r="F409" s="62">
        <v>1.8</v>
      </c>
      <c r="G409" s="63">
        <v>1.8</v>
      </c>
    </row>
    <row r="410" spans="1:7" x14ac:dyDescent="0.2">
      <c r="A410" s="74">
        <v>371</v>
      </c>
      <c r="B410" s="60" t="s">
        <v>357</v>
      </c>
      <c r="C410" s="61"/>
      <c r="D410" s="61">
        <v>1.3</v>
      </c>
      <c r="E410" s="61">
        <v>1.35</v>
      </c>
      <c r="F410" s="62">
        <v>1.4</v>
      </c>
      <c r="G410" s="63">
        <v>1.4</v>
      </c>
    </row>
    <row r="411" spans="1:7" x14ac:dyDescent="0.2">
      <c r="A411" s="74">
        <v>372</v>
      </c>
      <c r="B411" s="60" t="s">
        <v>358</v>
      </c>
      <c r="C411" s="61"/>
      <c r="D411" s="61">
        <v>1.3</v>
      </c>
      <c r="E411" s="61">
        <v>1.35</v>
      </c>
      <c r="F411" s="62">
        <v>1.4</v>
      </c>
      <c r="G411" s="63">
        <v>1.4</v>
      </c>
    </row>
    <row r="412" spans="1:7" ht="13.5" thickBot="1" x14ac:dyDescent="0.25">
      <c r="A412" s="90">
        <v>373</v>
      </c>
      <c r="B412" s="91" t="s">
        <v>359</v>
      </c>
      <c r="C412" s="92"/>
      <c r="D412" s="92">
        <v>5</v>
      </c>
      <c r="E412" s="92">
        <v>5.0999999999999996</v>
      </c>
      <c r="F412" s="93">
        <v>5.25</v>
      </c>
      <c r="G412" s="114">
        <v>5.25</v>
      </c>
    </row>
    <row r="413" spans="1:7" x14ac:dyDescent="0.2">
      <c r="A413" s="94"/>
      <c r="B413" s="95"/>
      <c r="G413" s="99"/>
    </row>
    <row r="414" spans="1:7" x14ac:dyDescent="0.2">
      <c r="A414" s="99">
        <f>COUNT(A3:A413)</f>
        <v>300</v>
      </c>
      <c r="B414" s="100" t="s">
        <v>360</v>
      </c>
      <c r="C414" s="98">
        <f>COUNT(C3:C413)</f>
        <v>135</v>
      </c>
      <c r="D414" s="98">
        <f>COUNT(D3:D413)</f>
        <v>281</v>
      </c>
      <c r="E414" s="98">
        <f>COUNT(E3:E413)</f>
        <v>282</v>
      </c>
      <c r="F414" s="101">
        <v>399</v>
      </c>
      <c r="G414" s="98">
        <f>COUNT(G4:G413)</f>
        <v>300</v>
      </c>
    </row>
    <row r="415" spans="1:7" x14ac:dyDescent="0.2">
      <c r="A415" s="94"/>
      <c r="B415" s="102" t="s">
        <v>361</v>
      </c>
      <c r="C415" s="103">
        <f>AVERAGE(C3:C412)</f>
        <v>4.691793972821797</v>
      </c>
      <c r="D415" s="103">
        <f>AVERAGE(D3:D412)</f>
        <v>3.4836298932384295</v>
      </c>
      <c r="E415" s="103">
        <f>AVERAGE(E3:E412)</f>
        <v>3.5799645390070913</v>
      </c>
      <c r="F415" s="104">
        <v>3.5190476190476168</v>
      </c>
      <c r="G415" s="103">
        <f>AVERAGE(G4:G412)</f>
        <v>3.7666666666666684</v>
      </c>
    </row>
    <row r="416" spans="1:7" x14ac:dyDescent="0.2">
      <c r="A416" s="105"/>
      <c r="B416" s="100"/>
      <c r="C416" s="106"/>
      <c r="D416" s="106"/>
      <c r="E416" s="106"/>
      <c r="F416" s="107"/>
      <c r="G416" s="115"/>
    </row>
    <row r="417" spans="1:7" x14ac:dyDescent="0.2">
      <c r="A417" s="94"/>
      <c r="B417" s="102"/>
      <c r="C417" s="102"/>
      <c r="D417" s="102"/>
      <c r="E417" s="102"/>
      <c r="F417" s="108"/>
      <c r="G417" s="109"/>
    </row>
    <row r="418" spans="1:7" x14ac:dyDescent="0.2">
      <c r="A418" s="105"/>
      <c r="B418" s="100"/>
      <c r="C418" s="106"/>
      <c r="D418" s="106"/>
      <c r="E418" s="106"/>
      <c r="F418" s="107"/>
      <c r="G418" s="115"/>
    </row>
    <row r="419" spans="1:7" x14ac:dyDescent="0.2">
      <c r="A419" s="94"/>
      <c r="B419" s="102"/>
      <c r="C419" s="102"/>
      <c r="D419" s="102"/>
      <c r="E419" s="102"/>
      <c r="F419" s="108"/>
      <c r="G419" s="109"/>
    </row>
    <row r="420" spans="1:7" x14ac:dyDescent="0.2">
      <c r="A420" s="94"/>
      <c r="B420" s="100"/>
      <c r="C420" s="106"/>
      <c r="D420" s="106"/>
      <c r="E420" s="106"/>
      <c r="F420" s="107"/>
      <c r="G420" s="109"/>
    </row>
    <row r="421" spans="1:7" x14ac:dyDescent="0.2">
      <c r="A421" s="94"/>
      <c r="B421" s="100"/>
      <c r="C421" s="106"/>
      <c r="D421" s="106"/>
      <c r="E421" s="106"/>
      <c r="F421" s="107"/>
      <c r="G421" s="109"/>
    </row>
    <row r="422" spans="1:7" x14ac:dyDescent="0.2">
      <c r="A422" s="94"/>
      <c r="B422" s="100"/>
      <c r="C422" s="106"/>
      <c r="D422" s="106"/>
      <c r="E422" s="106"/>
      <c r="F422" s="107"/>
      <c r="G422" s="109"/>
    </row>
    <row r="423" spans="1:7" x14ac:dyDescent="0.2">
      <c r="A423" s="247"/>
      <c r="B423" s="100"/>
      <c r="C423" s="106"/>
      <c r="D423" s="106"/>
      <c r="E423" s="106"/>
      <c r="F423" s="107"/>
    </row>
  </sheetData>
  <phoneticPr fontId="5" type="noConversion"/>
  <conditionalFormatting sqref="G3">
    <cfRule type="cellIs" dxfId="5" priority="1" stopIfTrue="1" operator="greaterThanOrEqual">
      <formula>3</formula>
    </cfRule>
  </conditionalFormatting>
  <pageMargins left="0.35433070866141736" right="0.15748031496062992" top="0.78740157480314965" bottom="0.59055118110236227" header="0" footer="0.39370078740157483"/>
  <pageSetup paperSize="9" orientation="portrait" horizontalDpi="300" verticalDpi="300" r:id="rId1"/>
  <headerFooter alignWithMargins="0">
    <oddFooter>&amp;C&amp;8&amp;P/&amp;N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86"/>
  <sheetViews>
    <sheetView zoomScaleNormal="100" zoomScaleSheetLayoutView="100" workbookViewId="0">
      <selection activeCell="C21" sqref="C21"/>
    </sheetView>
  </sheetViews>
  <sheetFormatPr defaultColWidth="9.140625" defaultRowHeight="14.25" x14ac:dyDescent="0.3"/>
  <cols>
    <col min="1" max="1" width="8.28515625" style="1" customWidth="1"/>
    <col min="2" max="2" width="8.28515625" style="141" customWidth="1"/>
    <col min="3" max="3" width="45.7109375" style="157" customWidth="1"/>
    <col min="4" max="5" width="8.28515625" style="175" customWidth="1"/>
    <col min="6" max="16384" width="9.140625" style="175"/>
  </cols>
  <sheetData>
    <row r="1" spans="1:5" ht="27.75" customHeight="1" x14ac:dyDescent="0.3">
      <c r="A1" s="189" t="s">
        <v>362</v>
      </c>
      <c r="B1" s="189"/>
      <c r="C1" s="189"/>
      <c r="D1" s="189"/>
      <c r="E1" s="189"/>
    </row>
    <row r="2" spans="1:5" ht="13.5" customHeight="1" thickBot="1" x14ac:dyDescent="0.35">
      <c r="C2" s="174"/>
      <c r="E2" s="172"/>
    </row>
    <row r="3" spans="1:5" ht="20.100000000000001" customHeight="1" x14ac:dyDescent="0.3">
      <c r="A3" s="469" t="s">
        <v>363</v>
      </c>
      <c r="B3" s="470"/>
      <c r="C3" s="471" t="s">
        <v>364</v>
      </c>
      <c r="D3" s="475" t="s">
        <v>365</v>
      </c>
      <c r="E3" s="473" t="s">
        <v>366</v>
      </c>
    </row>
    <row r="4" spans="1:5" ht="20.100000000000001" customHeight="1" thickBot="1" x14ac:dyDescent="0.35">
      <c r="A4" s="179" t="s">
        <v>367</v>
      </c>
      <c r="B4" s="180" t="s">
        <v>368</v>
      </c>
      <c r="C4" s="472"/>
      <c r="D4" s="476"/>
      <c r="E4" s="474"/>
    </row>
    <row r="5" spans="1:5" ht="15" customHeight="1" x14ac:dyDescent="0.3">
      <c r="A5" s="168"/>
      <c r="B5" s="169"/>
      <c r="C5" s="142" t="s">
        <v>232</v>
      </c>
      <c r="D5" s="176"/>
      <c r="E5" s="184"/>
    </row>
    <row r="6" spans="1:5" x14ac:dyDescent="0.3">
      <c r="A6" s="134">
        <v>21021</v>
      </c>
      <c r="B6" s="138" t="s">
        <v>369</v>
      </c>
      <c r="C6" s="119" t="s">
        <v>370</v>
      </c>
      <c r="D6" s="181">
        <v>6.3008610000000003</v>
      </c>
      <c r="E6" s="185">
        <v>1.1000000000000001</v>
      </c>
    </row>
    <row r="7" spans="1:5" x14ac:dyDescent="0.3">
      <c r="A7" s="134">
        <v>21020</v>
      </c>
      <c r="B7" s="138" t="s">
        <v>371</v>
      </c>
      <c r="C7" s="143" t="s">
        <v>372</v>
      </c>
      <c r="D7" s="181">
        <v>3.9041730000000001</v>
      </c>
      <c r="E7" s="185">
        <v>1.1000000000000001</v>
      </c>
    </row>
    <row r="8" spans="1:5" ht="14.25" customHeight="1" x14ac:dyDescent="0.3">
      <c r="A8" s="134"/>
      <c r="B8" s="138"/>
      <c r="C8" s="136" t="s">
        <v>373</v>
      </c>
      <c r="D8" s="181"/>
      <c r="E8" s="185"/>
    </row>
    <row r="9" spans="1:5" x14ac:dyDescent="0.3">
      <c r="A9" s="134">
        <v>21050</v>
      </c>
      <c r="B9" s="138" t="s">
        <v>374</v>
      </c>
      <c r="C9" s="143" t="s">
        <v>375</v>
      </c>
      <c r="D9" s="181">
        <v>14.649180000000001</v>
      </c>
      <c r="E9" s="185">
        <v>1.1000000000000001</v>
      </c>
    </row>
    <row r="10" spans="1:5" x14ac:dyDescent="0.3">
      <c r="A10" s="134"/>
      <c r="B10" s="138"/>
      <c r="C10" s="136" t="s">
        <v>376</v>
      </c>
      <c r="D10" s="181"/>
      <c r="E10" s="185"/>
    </row>
    <row r="11" spans="1:5" x14ac:dyDescent="0.3">
      <c r="A11" s="134">
        <v>21056</v>
      </c>
      <c r="B11" s="138" t="s">
        <v>377</v>
      </c>
      <c r="C11" s="143" t="s">
        <v>378</v>
      </c>
      <c r="D11" s="181">
        <v>3.0235000000000003</v>
      </c>
      <c r="E11" s="185">
        <v>1.1000000000000001</v>
      </c>
    </row>
    <row r="12" spans="1:5" x14ac:dyDescent="0.3">
      <c r="A12" s="134">
        <v>21065</v>
      </c>
      <c r="B12" s="138" t="s">
        <v>379</v>
      </c>
      <c r="C12" s="143" t="s">
        <v>380</v>
      </c>
      <c r="D12" s="181">
        <v>8.3357399999999995</v>
      </c>
      <c r="E12" s="185">
        <v>1.1000000000000001</v>
      </c>
    </row>
    <row r="13" spans="1:5" x14ac:dyDescent="0.3">
      <c r="A13" s="134">
        <v>21071</v>
      </c>
      <c r="B13" s="138" t="s">
        <v>381</v>
      </c>
      <c r="C13" s="143" t="s">
        <v>382</v>
      </c>
      <c r="D13" s="181">
        <v>1.056594</v>
      </c>
      <c r="E13" s="185">
        <v>0.35</v>
      </c>
    </row>
    <row r="14" spans="1:5" x14ac:dyDescent="0.3">
      <c r="A14" s="134">
        <v>21074</v>
      </c>
      <c r="B14" s="138" t="s">
        <v>383</v>
      </c>
      <c r="C14" s="143" t="s">
        <v>384</v>
      </c>
      <c r="D14" s="181">
        <v>21.212699999999998</v>
      </c>
      <c r="E14" s="185">
        <v>1.1000000000000001</v>
      </c>
    </row>
    <row r="15" spans="1:5" x14ac:dyDescent="0.3">
      <c r="A15" s="134">
        <v>21086</v>
      </c>
      <c r="B15" s="138" t="s">
        <v>385</v>
      </c>
      <c r="C15" s="143" t="s">
        <v>386</v>
      </c>
      <c r="D15" s="181">
        <v>9.2051400000000001</v>
      </c>
      <c r="E15" s="185">
        <v>1.1000000000000001</v>
      </c>
    </row>
    <row r="16" spans="1:5" x14ac:dyDescent="0.3">
      <c r="A16" s="134">
        <v>21092</v>
      </c>
      <c r="B16" s="138" t="s">
        <v>387</v>
      </c>
      <c r="C16" s="143" t="s">
        <v>388</v>
      </c>
      <c r="D16" s="181">
        <v>7.5194909999999995</v>
      </c>
      <c r="E16" s="185">
        <v>1.1000000000000001</v>
      </c>
    </row>
    <row r="17" spans="1:5" x14ac:dyDescent="0.3">
      <c r="A17" s="134">
        <v>21095</v>
      </c>
      <c r="B17" s="138" t="s">
        <v>389</v>
      </c>
      <c r="C17" s="143" t="s">
        <v>390</v>
      </c>
      <c r="D17" s="181">
        <v>9.2051400000000001</v>
      </c>
      <c r="E17" s="185">
        <v>1.1000000000000001</v>
      </c>
    </row>
    <row r="18" spans="1:5" x14ac:dyDescent="0.3">
      <c r="A18" s="134"/>
      <c r="B18" s="138"/>
      <c r="C18" s="136" t="s">
        <v>391</v>
      </c>
      <c r="D18" s="181"/>
      <c r="E18" s="185"/>
    </row>
    <row r="19" spans="1:5" x14ac:dyDescent="0.3">
      <c r="A19" s="134">
        <v>21098</v>
      </c>
      <c r="B19" s="138" t="s">
        <v>392</v>
      </c>
      <c r="C19" s="143" t="s">
        <v>393</v>
      </c>
      <c r="D19" s="181">
        <v>5.8310700000000004</v>
      </c>
      <c r="E19" s="185">
        <v>1.1000000000000001</v>
      </c>
    </row>
    <row r="20" spans="1:5" x14ac:dyDescent="0.3">
      <c r="A20" s="134">
        <v>21101</v>
      </c>
      <c r="B20" s="138" t="s">
        <v>394</v>
      </c>
      <c r="C20" s="143" t="s">
        <v>395</v>
      </c>
      <c r="D20" s="181">
        <v>1.2257909999999999</v>
      </c>
      <c r="E20" s="185">
        <v>0.4</v>
      </c>
    </row>
    <row r="21" spans="1:5" x14ac:dyDescent="0.3">
      <c r="A21" s="134">
        <v>21104</v>
      </c>
      <c r="B21" s="138" t="s">
        <v>396</v>
      </c>
      <c r="C21" s="143" t="s">
        <v>397</v>
      </c>
      <c r="D21" s="181">
        <v>14.894880000000001</v>
      </c>
      <c r="E21" s="185">
        <v>1.1000000000000001</v>
      </c>
    </row>
    <row r="22" spans="1:5" x14ac:dyDescent="0.3">
      <c r="A22" s="134">
        <v>21107</v>
      </c>
      <c r="B22" s="138" t="s">
        <v>398</v>
      </c>
      <c r="C22" s="143" t="s">
        <v>399</v>
      </c>
      <c r="D22" s="181">
        <v>9.2051400000000001</v>
      </c>
      <c r="E22" s="185">
        <v>1.1000000000000001</v>
      </c>
    </row>
    <row r="23" spans="1:5" x14ac:dyDescent="0.3">
      <c r="A23" s="134">
        <v>21110</v>
      </c>
      <c r="B23" s="138" t="s">
        <v>400</v>
      </c>
      <c r="C23" s="143" t="s">
        <v>401</v>
      </c>
      <c r="D23" s="181">
        <v>15.575279999999999</v>
      </c>
      <c r="E23" s="185">
        <v>1.1000000000000001</v>
      </c>
    </row>
    <row r="24" spans="1:5" x14ac:dyDescent="0.3">
      <c r="A24" s="134">
        <v>21116</v>
      </c>
      <c r="B24" s="138" t="s">
        <v>402</v>
      </c>
      <c r="C24" s="143" t="s">
        <v>403</v>
      </c>
      <c r="D24" s="181">
        <v>12.918491250000001</v>
      </c>
      <c r="E24" s="185">
        <v>1.1000000000000001</v>
      </c>
    </row>
    <row r="25" spans="1:5" x14ac:dyDescent="0.3">
      <c r="A25" s="134">
        <v>21119</v>
      </c>
      <c r="B25" s="138" t="s">
        <v>404</v>
      </c>
      <c r="C25" s="143" t="s">
        <v>405</v>
      </c>
      <c r="D25" s="181">
        <v>4.6214700000000004</v>
      </c>
      <c r="E25" s="185">
        <v>1.1000000000000001</v>
      </c>
    </row>
    <row r="26" spans="1:5" x14ac:dyDescent="0.3">
      <c r="A26" s="134">
        <v>21124</v>
      </c>
      <c r="B26" s="138" t="s">
        <v>406</v>
      </c>
      <c r="C26" s="143" t="s">
        <v>407</v>
      </c>
      <c r="D26" s="181">
        <v>4.6214700000000004</v>
      </c>
      <c r="E26" s="185">
        <v>1.1000000000000001</v>
      </c>
    </row>
    <row r="27" spans="1:5" x14ac:dyDescent="0.3">
      <c r="A27" s="134">
        <v>21129</v>
      </c>
      <c r="B27" s="138" t="s">
        <v>408</v>
      </c>
      <c r="C27" s="143" t="s">
        <v>409</v>
      </c>
      <c r="D27" s="181">
        <v>29.805435483870966</v>
      </c>
      <c r="E27" s="185">
        <v>1.1000000000000001</v>
      </c>
    </row>
    <row r="28" spans="1:5" x14ac:dyDescent="0.3">
      <c r="A28" s="134">
        <v>21135</v>
      </c>
      <c r="B28" s="138" t="s">
        <v>410</v>
      </c>
      <c r="C28" s="143" t="s">
        <v>411</v>
      </c>
      <c r="D28" s="181">
        <v>5.756373</v>
      </c>
      <c r="E28" s="185">
        <v>1.1000000000000001</v>
      </c>
    </row>
    <row r="29" spans="1:5" x14ac:dyDescent="0.3">
      <c r="A29" s="134">
        <v>21140</v>
      </c>
      <c r="B29" s="138" t="s">
        <v>412</v>
      </c>
      <c r="C29" s="143" t="s">
        <v>413</v>
      </c>
      <c r="D29" s="181">
        <v>0.74022391990179037</v>
      </c>
      <c r="E29" s="185">
        <v>0.35</v>
      </c>
    </row>
    <row r="30" spans="1:5" x14ac:dyDescent="0.3">
      <c r="A30" s="134">
        <v>21145</v>
      </c>
      <c r="B30" s="138" t="s">
        <v>414</v>
      </c>
      <c r="C30" s="143" t="s">
        <v>415</v>
      </c>
      <c r="D30" s="181">
        <v>5.8292640000000002</v>
      </c>
      <c r="E30" s="185">
        <v>1.1000000000000001</v>
      </c>
    </row>
    <row r="31" spans="1:5" x14ac:dyDescent="0.3">
      <c r="A31" s="134">
        <v>21156</v>
      </c>
      <c r="B31" s="138" t="s">
        <v>416</v>
      </c>
      <c r="C31" s="143" t="s">
        <v>417</v>
      </c>
      <c r="D31" s="181">
        <v>3.223773</v>
      </c>
      <c r="E31" s="185">
        <v>0.35</v>
      </c>
    </row>
    <row r="32" spans="1:5" x14ac:dyDescent="0.3">
      <c r="A32" s="134">
        <v>21161</v>
      </c>
      <c r="B32" s="138" t="s">
        <v>418</v>
      </c>
      <c r="C32" s="143" t="s">
        <v>419</v>
      </c>
      <c r="D32" s="181">
        <v>14.365680000000001</v>
      </c>
      <c r="E32" s="185">
        <v>1.1000000000000001</v>
      </c>
    </row>
    <row r="33" spans="1:5" x14ac:dyDescent="0.3">
      <c r="A33" s="134">
        <v>21162</v>
      </c>
      <c r="B33" s="138" t="s">
        <v>420</v>
      </c>
      <c r="C33" s="143" t="s">
        <v>421</v>
      </c>
      <c r="D33" s="181">
        <v>14.66808</v>
      </c>
      <c r="E33" s="185">
        <v>1.1000000000000001</v>
      </c>
    </row>
    <row r="34" spans="1:5" ht="28.5" x14ac:dyDescent="0.3">
      <c r="A34" s="134"/>
      <c r="B34" s="138"/>
      <c r="C34" s="136" t="s">
        <v>422</v>
      </c>
      <c r="D34" s="181"/>
      <c r="E34" s="185"/>
    </row>
    <row r="35" spans="1:5" x14ac:dyDescent="0.3">
      <c r="A35" s="134">
        <v>21178</v>
      </c>
      <c r="B35" s="138" t="s">
        <v>423</v>
      </c>
      <c r="C35" s="143" t="s">
        <v>424</v>
      </c>
      <c r="D35" s="181">
        <v>5.0354639999999993</v>
      </c>
      <c r="E35" s="185">
        <v>1.1000000000000001</v>
      </c>
    </row>
    <row r="36" spans="1:5" ht="28.5" x14ac:dyDescent="0.3">
      <c r="A36" s="134"/>
      <c r="B36" s="138"/>
      <c r="C36" s="136" t="s">
        <v>425</v>
      </c>
      <c r="D36" s="181"/>
      <c r="E36" s="185"/>
    </row>
    <row r="37" spans="1:5" x14ac:dyDescent="0.3">
      <c r="A37" s="134">
        <v>21169</v>
      </c>
      <c r="B37" s="138" t="s">
        <v>426</v>
      </c>
      <c r="C37" s="143" t="s">
        <v>427</v>
      </c>
      <c r="D37" s="181">
        <v>10.726366379489601</v>
      </c>
      <c r="E37" s="185">
        <v>1.1000000000000001</v>
      </c>
    </row>
    <row r="38" spans="1:5" x14ac:dyDescent="0.3">
      <c r="A38" s="134">
        <v>21175</v>
      </c>
      <c r="B38" s="138" t="s">
        <v>428</v>
      </c>
      <c r="C38" s="143" t="s">
        <v>429</v>
      </c>
      <c r="D38" s="181">
        <v>14.21448</v>
      </c>
      <c r="E38" s="185">
        <v>1.1000000000000001</v>
      </c>
    </row>
    <row r="39" spans="1:5" x14ac:dyDescent="0.3">
      <c r="A39" s="134">
        <v>21186</v>
      </c>
      <c r="B39" s="138" t="s">
        <v>430</v>
      </c>
      <c r="C39" s="143" t="s">
        <v>431</v>
      </c>
      <c r="D39" s="181">
        <v>15.083880000000001</v>
      </c>
      <c r="E39" s="185">
        <v>1.1000000000000001</v>
      </c>
    </row>
    <row r="40" spans="1:5" ht="14.25" customHeight="1" x14ac:dyDescent="0.3">
      <c r="A40" s="134">
        <v>21199</v>
      </c>
      <c r="B40" s="138" t="s">
        <v>432</v>
      </c>
      <c r="C40" s="143" t="s">
        <v>433</v>
      </c>
      <c r="D40" s="181">
        <v>5.3396699999999999</v>
      </c>
      <c r="E40" s="185">
        <v>1.1000000000000001</v>
      </c>
    </row>
    <row r="41" spans="1:5" x14ac:dyDescent="0.3">
      <c r="A41" s="134">
        <v>21196</v>
      </c>
      <c r="B41" s="138" t="s">
        <v>434</v>
      </c>
      <c r="C41" s="143" t="s">
        <v>435</v>
      </c>
      <c r="D41" s="181">
        <v>2.1210219286246468</v>
      </c>
      <c r="E41" s="185">
        <v>0.6</v>
      </c>
    </row>
    <row r="42" spans="1:5" x14ac:dyDescent="0.3">
      <c r="A42" s="134">
        <v>21207</v>
      </c>
      <c r="B42" s="138" t="s">
        <v>436</v>
      </c>
      <c r="C42" s="143" t="s">
        <v>437</v>
      </c>
      <c r="D42" s="181">
        <v>14.543304905660378</v>
      </c>
      <c r="E42" s="185">
        <v>1.1000000000000001</v>
      </c>
    </row>
    <row r="43" spans="1:5" x14ac:dyDescent="0.3">
      <c r="A43" s="134">
        <v>21204</v>
      </c>
      <c r="B43" s="138" t="s">
        <v>438</v>
      </c>
      <c r="C43" s="143" t="s">
        <v>439</v>
      </c>
      <c r="D43" s="181">
        <v>13.272192660550459</v>
      </c>
      <c r="E43" s="185">
        <v>1.1000000000000001</v>
      </c>
    </row>
    <row r="44" spans="1:5" x14ac:dyDescent="0.3">
      <c r="A44" s="134">
        <v>21217</v>
      </c>
      <c r="B44" s="138" t="s">
        <v>440</v>
      </c>
      <c r="C44" s="143" t="s">
        <v>441</v>
      </c>
      <c r="D44" s="181">
        <v>1.2257909999999999</v>
      </c>
      <c r="E44" s="185">
        <v>0.4</v>
      </c>
    </row>
    <row r="45" spans="1:5" x14ac:dyDescent="0.3">
      <c r="A45" s="134">
        <v>21220</v>
      </c>
      <c r="B45" s="138" t="s">
        <v>442</v>
      </c>
      <c r="C45" s="143" t="s">
        <v>443</v>
      </c>
      <c r="D45" s="181">
        <v>1.2257909999999999</v>
      </c>
      <c r="E45" s="185">
        <v>0.4</v>
      </c>
    </row>
    <row r="46" spans="1:5" x14ac:dyDescent="0.3">
      <c r="A46" s="134">
        <v>21230</v>
      </c>
      <c r="B46" s="138" t="s">
        <v>444</v>
      </c>
      <c r="C46" s="143" t="s">
        <v>445</v>
      </c>
      <c r="D46" s="181">
        <v>4.2812700000000001</v>
      </c>
      <c r="E46" s="185">
        <v>1.1000000000000001</v>
      </c>
    </row>
    <row r="47" spans="1:5" ht="15" customHeight="1" x14ac:dyDescent="0.3">
      <c r="A47" s="134">
        <v>21242</v>
      </c>
      <c r="B47" s="138" t="s">
        <v>446</v>
      </c>
      <c r="C47" s="143" t="s">
        <v>447</v>
      </c>
      <c r="D47" s="181">
        <v>33.7102</v>
      </c>
      <c r="E47" s="185">
        <v>1.1000000000000001</v>
      </c>
    </row>
    <row r="48" spans="1:5" x14ac:dyDescent="0.3">
      <c r="A48" s="134">
        <v>21243</v>
      </c>
      <c r="B48" s="138" t="s">
        <v>448</v>
      </c>
      <c r="C48" s="143" t="s">
        <v>449</v>
      </c>
      <c r="D48" s="181">
        <v>33.7102</v>
      </c>
      <c r="E48" s="185">
        <v>1.1000000000000001</v>
      </c>
    </row>
    <row r="49" spans="1:5" x14ac:dyDescent="0.3">
      <c r="A49" s="134">
        <v>21258</v>
      </c>
      <c r="B49" s="138" t="s">
        <v>450</v>
      </c>
      <c r="C49" s="143" t="s">
        <v>451</v>
      </c>
      <c r="D49" s="181">
        <v>17.569649999999999</v>
      </c>
      <c r="E49" s="185">
        <v>1.1000000000000001</v>
      </c>
    </row>
    <row r="50" spans="1:5" x14ac:dyDescent="0.3">
      <c r="A50" s="134">
        <v>21262</v>
      </c>
      <c r="B50" s="138" t="s">
        <v>452</v>
      </c>
      <c r="C50" s="143" t="s">
        <v>453</v>
      </c>
      <c r="D50" s="181">
        <v>17.70195</v>
      </c>
      <c r="E50" s="185">
        <v>1.1000000000000001</v>
      </c>
    </row>
    <row r="51" spans="1:5" x14ac:dyDescent="0.3">
      <c r="A51" s="134">
        <v>21261</v>
      </c>
      <c r="B51" s="138" t="s">
        <v>454</v>
      </c>
      <c r="C51" s="143" t="s">
        <v>455</v>
      </c>
      <c r="D51" s="181">
        <v>17.51295</v>
      </c>
      <c r="E51" s="185">
        <v>1.1000000000000001</v>
      </c>
    </row>
    <row r="52" spans="1:5" ht="13.5" customHeight="1" x14ac:dyDescent="0.3">
      <c r="A52" s="134">
        <v>21271</v>
      </c>
      <c r="B52" s="138" t="s">
        <v>456</v>
      </c>
      <c r="C52" s="143" t="s">
        <v>457</v>
      </c>
      <c r="D52" s="181">
        <v>10.282086565735277</v>
      </c>
      <c r="E52" s="185">
        <v>1.1000000000000001</v>
      </c>
    </row>
    <row r="53" spans="1:5" x14ac:dyDescent="0.3">
      <c r="A53" s="134">
        <v>21276</v>
      </c>
      <c r="B53" s="138" t="s">
        <v>458</v>
      </c>
      <c r="C53" s="143" t="s">
        <v>459</v>
      </c>
      <c r="D53" s="181">
        <v>22.124549999999999</v>
      </c>
      <c r="E53" s="185">
        <v>1.1000000000000001</v>
      </c>
    </row>
    <row r="54" spans="1:5" x14ac:dyDescent="0.3">
      <c r="A54" s="134">
        <v>21321</v>
      </c>
      <c r="B54" s="138" t="s">
        <v>460</v>
      </c>
      <c r="C54" s="143" t="s">
        <v>461</v>
      </c>
      <c r="D54" s="181">
        <v>18.136649999999999</v>
      </c>
      <c r="E54" s="185">
        <v>1.1000000000000001</v>
      </c>
    </row>
    <row r="55" spans="1:5" x14ac:dyDescent="0.3">
      <c r="A55" s="134">
        <v>21312</v>
      </c>
      <c r="B55" s="138" t="s">
        <v>462</v>
      </c>
      <c r="C55" s="143" t="s">
        <v>463</v>
      </c>
      <c r="D55" s="181">
        <v>20.385750000000002</v>
      </c>
      <c r="E55" s="185">
        <v>1.1000000000000001</v>
      </c>
    </row>
    <row r="56" spans="1:5" x14ac:dyDescent="0.3">
      <c r="A56" s="134">
        <v>21318</v>
      </c>
      <c r="B56" s="138" t="s">
        <v>464</v>
      </c>
      <c r="C56" s="143" t="s">
        <v>465</v>
      </c>
      <c r="D56" s="181">
        <v>20.385750000000002</v>
      </c>
      <c r="E56" s="185">
        <v>1.1000000000000001</v>
      </c>
    </row>
    <row r="57" spans="1:5" x14ac:dyDescent="0.3">
      <c r="A57" s="134">
        <v>21326</v>
      </c>
      <c r="B57" s="138" t="s">
        <v>466</v>
      </c>
      <c r="C57" s="143" t="s">
        <v>467</v>
      </c>
      <c r="D57" s="181">
        <v>4.1007999999999996</v>
      </c>
      <c r="E57" s="185">
        <v>1.1000000000000001</v>
      </c>
    </row>
    <row r="58" spans="1:5" x14ac:dyDescent="0.3">
      <c r="A58" s="134">
        <v>21343</v>
      </c>
      <c r="B58" s="138" t="s">
        <v>468</v>
      </c>
      <c r="C58" s="143" t="s">
        <v>469</v>
      </c>
      <c r="D58" s="181">
        <v>1.6406200754153901</v>
      </c>
      <c r="E58" s="185">
        <v>0.45</v>
      </c>
    </row>
    <row r="59" spans="1:5" x14ac:dyDescent="0.3">
      <c r="A59" s="134">
        <v>21340</v>
      </c>
      <c r="B59" s="138" t="s">
        <v>470</v>
      </c>
      <c r="C59" s="143" t="s">
        <v>471</v>
      </c>
      <c r="D59" s="181">
        <v>0.92429399999999995</v>
      </c>
      <c r="E59" s="185">
        <v>0.35</v>
      </c>
    </row>
    <row r="60" spans="1:5" x14ac:dyDescent="0.3">
      <c r="A60" s="134">
        <v>21334</v>
      </c>
      <c r="B60" s="138" t="s">
        <v>472</v>
      </c>
      <c r="C60" s="143" t="s">
        <v>473</v>
      </c>
      <c r="D60" s="181">
        <v>0.64169699999999996</v>
      </c>
      <c r="E60" s="185">
        <v>0.35</v>
      </c>
    </row>
    <row r="61" spans="1:5" x14ac:dyDescent="0.3">
      <c r="A61" s="134">
        <v>21372</v>
      </c>
      <c r="B61" s="138" t="s">
        <v>474</v>
      </c>
      <c r="C61" s="143" t="s">
        <v>475</v>
      </c>
      <c r="D61" s="181">
        <v>18.042149999999999</v>
      </c>
      <c r="E61" s="185">
        <v>1.1000000000000001</v>
      </c>
    </row>
    <row r="62" spans="1:5" x14ac:dyDescent="0.3">
      <c r="A62" s="134">
        <v>21370</v>
      </c>
      <c r="B62" s="138" t="s">
        <v>476</v>
      </c>
      <c r="C62" s="143" t="s">
        <v>477</v>
      </c>
      <c r="D62" s="181">
        <v>18.042149999999999</v>
      </c>
      <c r="E62" s="185">
        <v>1.1000000000000001</v>
      </c>
    </row>
    <row r="63" spans="1:5" x14ac:dyDescent="0.3">
      <c r="A63" s="134">
        <v>21393</v>
      </c>
      <c r="B63" s="138" t="s">
        <v>478</v>
      </c>
      <c r="C63" s="143" t="s">
        <v>479</v>
      </c>
      <c r="D63" s="181">
        <v>5.7267897600324282</v>
      </c>
      <c r="E63" s="185">
        <v>1.1000000000000001</v>
      </c>
    </row>
    <row r="64" spans="1:5" x14ac:dyDescent="0.3">
      <c r="A64" s="134">
        <v>21396</v>
      </c>
      <c r="B64" s="138" t="s">
        <v>480</v>
      </c>
      <c r="C64" s="143" t="s">
        <v>481</v>
      </c>
      <c r="D64" s="181">
        <v>1.2257909999999999</v>
      </c>
      <c r="E64" s="185">
        <v>0.35</v>
      </c>
    </row>
    <row r="65" spans="1:5" x14ac:dyDescent="0.3">
      <c r="A65" s="134">
        <v>21401</v>
      </c>
      <c r="B65" s="138" t="s">
        <v>482</v>
      </c>
      <c r="C65" s="143" t="s">
        <v>483</v>
      </c>
      <c r="D65" s="181">
        <v>26.477</v>
      </c>
      <c r="E65" s="185">
        <v>1.1000000000000001</v>
      </c>
    </row>
    <row r="66" spans="1:5" x14ac:dyDescent="0.3">
      <c r="A66" s="134">
        <v>21412</v>
      </c>
      <c r="B66" s="138" t="s">
        <v>484</v>
      </c>
      <c r="C66" s="143" t="s">
        <v>485</v>
      </c>
      <c r="D66" s="181">
        <v>6.0504074388777553</v>
      </c>
      <c r="E66" s="185">
        <v>1.1000000000000001</v>
      </c>
    </row>
    <row r="67" spans="1:5" x14ac:dyDescent="0.3">
      <c r="A67" s="134">
        <v>21425</v>
      </c>
      <c r="B67" s="138" t="s">
        <v>486</v>
      </c>
      <c r="C67" s="143" t="s">
        <v>487</v>
      </c>
      <c r="D67" s="181">
        <v>14.894880000000001</v>
      </c>
      <c r="E67" s="185">
        <v>1.1000000000000001</v>
      </c>
    </row>
    <row r="68" spans="1:5" x14ac:dyDescent="0.3">
      <c r="A68" s="134">
        <v>22516</v>
      </c>
      <c r="B68" s="138" t="s">
        <v>488</v>
      </c>
      <c r="C68" s="143" t="s">
        <v>489</v>
      </c>
      <c r="D68" s="181">
        <v>19.777463999999995</v>
      </c>
      <c r="E68" s="185">
        <v>1.1000000000000001</v>
      </c>
    </row>
    <row r="69" spans="1:5" x14ac:dyDescent="0.3">
      <c r="A69" s="134">
        <v>21430</v>
      </c>
      <c r="B69" s="138" t="s">
        <v>490</v>
      </c>
      <c r="C69" s="143" t="s">
        <v>491</v>
      </c>
      <c r="D69" s="181">
        <v>4.6610759999999996</v>
      </c>
      <c r="E69" s="185">
        <v>1.1000000000000001</v>
      </c>
    </row>
    <row r="70" spans="1:5" x14ac:dyDescent="0.3">
      <c r="A70" s="134">
        <v>21435</v>
      </c>
      <c r="B70" s="138" t="s">
        <v>492</v>
      </c>
      <c r="C70" s="143" t="s">
        <v>493</v>
      </c>
      <c r="D70" s="181">
        <v>13.486409999999999</v>
      </c>
      <c r="E70" s="185">
        <v>1.1000000000000001</v>
      </c>
    </row>
    <row r="71" spans="1:5" x14ac:dyDescent="0.3">
      <c r="A71" s="134">
        <v>21438</v>
      </c>
      <c r="B71" s="138" t="s">
        <v>494</v>
      </c>
      <c r="C71" s="143" t="s">
        <v>495</v>
      </c>
      <c r="D71" s="181">
        <v>12.371309999999999</v>
      </c>
      <c r="E71" s="185">
        <v>1.1000000000000001</v>
      </c>
    </row>
    <row r="72" spans="1:5" x14ac:dyDescent="0.3">
      <c r="A72" s="134"/>
      <c r="B72" s="138"/>
      <c r="C72" s="136" t="s">
        <v>496</v>
      </c>
      <c r="D72" s="181"/>
      <c r="E72" s="185"/>
    </row>
    <row r="73" spans="1:5" ht="28.5" x14ac:dyDescent="0.3">
      <c r="A73" s="134"/>
      <c r="B73" s="138"/>
      <c r="C73" s="136" t="s">
        <v>497</v>
      </c>
      <c r="D73" s="181"/>
      <c r="E73" s="185"/>
    </row>
    <row r="74" spans="1:5" x14ac:dyDescent="0.3">
      <c r="A74" s="134">
        <v>21443</v>
      </c>
      <c r="B74" s="138" t="s">
        <v>498</v>
      </c>
      <c r="C74" s="143" t="s">
        <v>499</v>
      </c>
      <c r="D74" s="181">
        <v>5.9330673206442164</v>
      </c>
      <c r="E74" s="185">
        <v>1.1000000000000001</v>
      </c>
    </row>
    <row r="75" spans="1:5" x14ac:dyDescent="0.3">
      <c r="A75" s="134">
        <v>21448</v>
      </c>
      <c r="B75" s="138" t="s">
        <v>500</v>
      </c>
      <c r="C75" s="143" t="s">
        <v>501</v>
      </c>
      <c r="D75" s="181">
        <v>14.276043493670887</v>
      </c>
      <c r="E75" s="185">
        <v>1.1000000000000001</v>
      </c>
    </row>
    <row r="76" spans="1:5" x14ac:dyDescent="0.3">
      <c r="A76" s="134"/>
      <c r="B76" s="138"/>
      <c r="C76" s="136" t="s">
        <v>502</v>
      </c>
      <c r="D76" s="181"/>
      <c r="E76" s="185"/>
    </row>
    <row r="77" spans="1:5" x14ac:dyDescent="0.3">
      <c r="A77" s="134">
        <v>21466</v>
      </c>
      <c r="B77" s="138" t="s">
        <v>503</v>
      </c>
      <c r="C77" s="143" t="s">
        <v>504</v>
      </c>
      <c r="D77" s="181">
        <v>21.0776</v>
      </c>
      <c r="E77" s="185">
        <v>1.1000000000000001</v>
      </c>
    </row>
    <row r="78" spans="1:5" x14ac:dyDescent="0.3">
      <c r="A78" s="134"/>
      <c r="B78" s="138"/>
      <c r="C78" s="136" t="s">
        <v>505</v>
      </c>
      <c r="D78" s="181"/>
      <c r="E78" s="185"/>
    </row>
    <row r="79" spans="1:5" x14ac:dyDescent="0.3">
      <c r="A79" s="134">
        <v>21471</v>
      </c>
      <c r="B79" s="138" t="s">
        <v>506</v>
      </c>
      <c r="C79" s="143" t="s">
        <v>507</v>
      </c>
      <c r="D79" s="181">
        <v>1.282491</v>
      </c>
      <c r="E79" s="185">
        <v>0.35</v>
      </c>
    </row>
    <row r="80" spans="1:5" x14ac:dyDescent="0.3">
      <c r="A80" s="134">
        <v>21487</v>
      </c>
      <c r="B80" s="138" t="s">
        <v>508</v>
      </c>
      <c r="C80" s="143" t="s">
        <v>509</v>
      </c>
      <c r="D80" s="181">
        <v>16.387979999999999</v>
      </c>
      <c r="E80" s="185">
        <v>1.1000000000000001</v>
      </c>
    </row>
    <row r="81" spans="1:5" x14ac:dyDescent="0.3">
      <c r="A81" s="134">
        <v>21516</v>
      </c>
      <c r="B81" s="138" t="s">
        <v>510</v>
      </c>
      <c r="C81" s="143" t="s">
        <v>511</v>
      </c>
      <c r="D81" s="181">
        <v>13.758800000000001</v>
      </c>
      <c r="E81" s="185">
        <v>1.1000000000000001</v>
      </c>
    </row>
    <row r="82" spans="1:5" x14ac:dyDescent="0.3">
      <c r="A82" s="134">
        <v>21513</v>
      </c>
      <c r="B82" s="138" t="s">
        <v>512</v>
      </c>
      <c r="C82" s="143" t="s">
        <v>513</v>
      </c>
      <c r="D82" s="181">
        <v>1.2068909999999997</v>
      </c>
      <c r="E82" s="185">
        <v>0.35</v>
      </c>
    </row>
    <row r="83" spans="1:5" x14ac:dyDescent="0.3">
      <c r="A83" s="134">
        <v>21526</v>
      </c>
      <c r="B83" s="138" t="s">
        <v>514</v>
      </c>
      <c r="C83" s="143" t="s">
        <v>515</v>
      </c>
      <c r="D83" s="181">
        <v>14.23338</v>
      </c>
      <c r="E83" s="185">
        <v>1.1000000000000001</v>
      </c>
    </row>
    <row r="84" spans="1:5" x14ac:dyDescent="0.3">
      <c r="A84" s="134">
        <v>21529</v>
      </c>
      <c r="B84" s="138" t="s">
        <v>516</v>
      </c>
      <c r="C84" s="143" t="s">
        <v>517</v>
      </c>
      <c r="D84" s="181">
        <v>2.791782</v>
      </c>
      <c r="E84" s="185">
        <v>1.1000000000000001</v>
      </c>
    </row>
    <row r="85" spans="1:5" x14ac:dyDescent="0.3">
      <c r="A85" s="134">
        <v>21539</v>
      </c>
      <c r="B85" s="138" t="s">
        <v>518</v>
      </c>
      <c r="C85" s="143" t="s">
        <v>519</v>
      </c>
      <c r="D85" s="181">
        <v>1.6406879999999999</v>
      </c>
      <c r="E85" s="185">
        <v>0.6</v>
      </c>
    </row>
    <row r="86" spans="1:5" x14ac:dyDescent="0.3">
      <c r="A86" s="134">
        <v>21542</v>
      </c>
      <c r="B86" s="138" t="s">
        <v>520</v>
      </c>
      <c r="C86" s="143" t="s">
        <v>521</v>
      </c>
      <c r="D86" s="181">
        <v>6.0396999999999998</v>
      </c>
      <c r="E86" s="185">
        <v>1.1000000000000001</v>
      </c>
    </row>
    <row r="87" spans="1:5" x14ac:dyDescent="0.3">
      <c r="A87" s="134">
        <v>21545</v>
      </c>
      <c r="B87" s="138" t="s">
        <v>522</v>
      </c>
      <c r="C87" s="143" t="s">
        <v>523</v>
      </c>
      <c r="D87" s="181">
        <v>1.8485879999999999</v>
      </c>
      <c r="E87" s="185">
        <v>1</v>
      </c>
    </row>
    <row r="88" spans="1:5" x14ac:dyDescent="0.3">
      <c r="A88" s="134">
        <v>21546</v>
      </c>
      <c r="B88" s="138" t="s">
        <v>524</v>
      </c>
      <c r="C88" s="143" t="s">
        <v>525</v>
      </c>
      <c r="D88" s="181">
        <v>2.434488</v>
      </c>
      <c r="E88" s="185">
        <v>1.1000000000000001</v>
      </c>
    </row>
    <row r="89" spans="1:5" x14ac:dyDescent="0.3">
      <c r="A89" s="134">
        <v>21554</v>
      </c>
      <c r="B89" s="138" t="s">
        <v>526</v>
      </c>
      <c r="C89" s="143" t="s">
        <v>527</v>
      </c>
      <c r="D89" s="181">
        <v>1.2267050634490104</v>
      </c>
      <c r="E89" s="185">
        <v>0.4</v>
      </c>
    </row>
    <row r="90" spans="1:5" x14ac:dyDescent="0.3">
      <c r="A90" s="134">
        <v>21559</v>
      </c>
      <c r="B90" s="138" t="s">
        <v>528</v>
      </c>
      <c r="C90" s="143" t="s">
        <v>529</v>
      </c>
      <c r="D90" s="181">
        <v>3.828573</v>
      </c>
      <c r="E90" s="185">
        <v>1.1000000000000001</v>
      </c>
    </row>
    <row r="91" spans="1:5" x14ac:dyDescent="0.3">
      <c r="A91" s="134">
        <v>21577</v>
      </c>
      <c r="B91" s="138" t="s">
        <v>530</v>
      </c>
      <c r="C91" s="143" t="s">
        <v>531</v>
      </c>
      <c r="D91" s="181">
        <v>1.8341909946043167</v>
      </c>
      <c r="E91" s="185">
        <v>0.35</v>
      </c>
    </row>
    <row r="92" spans="1:5" x14ac:dyDescent="0.3">
      <c r="A92" s="134">
        <v>21587</v>
      </c>
      <c r="B92" s="138" t="s">
        <v>532</v>
      </c>
      <c r="C92" s="143" t="s">
        <v>533</v>
      </c>
      <c r="D92" s="181">
        <v>11.36961</v>
      </c>
      <c r="E92" s="185">
        <v>1.1000000000000001</v>
      </c>
    </row>
    <row r="93" spans="1:5" x14ac:dyDescent="0.3">
      <c r="A93" s="134">
        <v>21586</v>
      </c>
      <c r="B93" s="138" t="s">
        <v>534</v>
      </c>
      <c r="C93" s="143" t="s">
        <v>535</v>
      </c>
      <c r="D93" s="181">
        <v>11.539709999999999</v>
      </c>
      <c r="E93" s="185">
        <v>1.1000000000000001</v>
      </c>
    </row>
    <row r="94" spans="1:5" x14ac:dyDescent="0.3">
      <c r="A94" s="134">
        <v>21588</v>
      </c>
      <c r="B94" s="138" t="s">
        <v>536</v>
      </c>
      <c r="C94" s="143" t="s">
        <v>537</v>
      </c>
      <c r="D94" s="181">
        <v>11.993309999999999</v>
      </c>
      <c r="E94" s="185">
        <v>1.1000000000000001</v>
      </c>
    </row>
    <row r="95" spans="1:5" x14ac:dyDescent="0.3">
      <c r="A95" s="134">
        <v>21604</v>
      </c>
      <c r="B95" s="138" t="s">
        <v>538</v>
      </c>
      <c r="C95" s="143" t="s">
        <v>539</v>
      </c>
      <c r="D95" s="181">
        <v>4.546773</v>
      </c>
      <c r="E95" s="185">
        <v>1.1000000000000001</v>
      </c>
    </row>
    <row r="96" spans="1:5" x14ac:dyDescent="0.3">
      <c r="A96" s="134">
        <v>21609</v>
      </c>
      <c r="B96" s="138" t="s">
        <v>540</v>
      </c>
      <c r="C96" s="143" t="s">
        <v>541</v>
      </c>
      <c r="D96" s="181">
        <v>2.9033760000000002</v>
      </c>
      <c r="E96" s="185">
        <v>0.5</v>
      </c>
    </row>
    <row r="97" spans="1:5" x14ac:dyDescent="0.3">
      <c r="A97" s="134">
        <v>21612</v>
      </c>
      <c r="B97" s="138" t="s">
        <v>542</v>
      </c>
      <c r="C97" s="143" t="s">
        <v>543</v>
      </c>
      <c r="D97" s="181">
        <v>8.9405400000000004</v>
      </c>
      <c r="E97" s="185">
        <v>1.1000000000000001</v>
      </c>
    </row>
    <row r="98" spans="1:5" x14ac:dyDescent="0.3">
      <c r="A98" s="134">
        <v>21615</v>
      </c>
      <c r="B98" s="138" t="s">
        <v>544</v>
      </c>
      <c r="C98" s="143" t="s">
        <v>545</v>
      </c>
      <c r="D98" s="181">
        <v>4.4306640000000002</v>
      </c>
      <c r="E98" s="185">
        <v>1</v>
      </c>
    </row>
    <row r="99" spans="1:5" x14ac:dyDescent="0.3">
      <c r="A99" s="134">
        <v>21623</v>
      </c>
      <c r="B99" s="138" t="s">
        <v>546</v>
      </c>
      <c r="C99" s="143" t="s">
        <v>547</v>
      </c>
      <c r="D99" s="181">
        <v>2.5559835</v>
      </c>
      <c r="E99" s="185">
        <v>1.1000000000000001</v>
      </c>
    </row>
    <row r="100" spans="1:5" x14ac:dyDescent="0.3">
      <c r="A100" s="134">
        <v>21620</v>
      </c>
      <c r="B100" s="138" t="s">
        <v>548</v>
      </c>
      <c r="C100" s="143" t="s">
        <v>549</v>
      </c>
      <c r="D100" s="181">
        <v>0.886494</v>
      </c>
      <c r="E100" s="185">
        <v>0.35</v>
      </c>
    </row>
    <row r="101" spans="1:5" x14ac:dyDescent="0.3">
      <c r="A101" s="134">
        <v>21638</v>
      </c>
      <c r="B101" s="138" t="s">
        <v>550</v>
      </c>
      <c r="C101" s="143" t="s">
        <v>551</v>
      </c>
      <c r="D101" s="181">
        <v>5.7806594999999996</v>
      </c>
      <c r="E101" s="185">
        <v>1.1000000000000001</v>
      </c>
    </row>
    <row r="102" spans="1:5" x14ac:dyDescent="0.3">
      <c r="A102" s="134">
        <v>21641</v>
      </c>
      <c r="B102" s="138" t="s">
        <v>552</v>
      </c>
      <c r="C102" s="143" t="s">
        <v>553</v>
      </c>
      <c r="D102" s="181">
        <v>14.271180000000001</v>
      </c>
      <c r="E102" s="185">
        <v>1.1000000000000001</v>
      </c>
    </row>
    <row r="103" spans="1:5" x14ac:dyDescent="0.3">
      <c r="A103" s="134">
        <v>21646</v>
      </c>
      <c r="B103" s="138" t="s">
        <v>554</v>
      </c>
      <c r="C103" s="143" t="s">
        <v>555</v>
      </c>
      <c r="D103" s="181">
        <v>14.535780000000001</v>
      </c>
      <c r="E103" s="185">
        <v>1.1000000000000001</v>
      </c>
    </row>
    <row r="104" spans="1:5" x14ac:dyDescent="0.3">
      <c r="A104" s="134">
        <v>21656</v>
      </c>
      <c r="B104" s="138" t="s">
        <v>556</v>
      </c>
      <c r="C104" s="143" t="s">
        <v>557</v>
      </c>
      <c r="D104" s="181">
        <v>4.5287759999999997</v>
      </c>
      <c r="E104" s="185">
        <v>1.1000000000000001</v>
      </c>
    </row>
    <row r="105" spans="1:5" ht="28.5" x14ac:dyDescent="0.3">
      <c r="A105" s="134"/>
      <c r="B105" s="138"/>
      <c r="C105" s="136" t="s">
        <v>558</v>
      </c>
      <c r="D105" s="181"/>
      <c r="E105" s="185"/>
    </row>
    <row r="106" spans="1:5" x14ac:dyDescent="0.3">
      <c r="A106" s="134">
        <v>21668</v>
      </c>
      <c r="B106" s="138" t="s">
        <v>559</v>
      </c>
      <c r="C106" s="143" t="s">
        <v>560</v>
      </c>
      <c r="D106" s="181">
        <v>6.7516598518518514</v>
      </c>
      <c r="E106" s="185">
        <v>1.1000000000000001</v>
      </c>
    </row>
    <row r="107" spans="1:5" x14ac:dyDescent="0.3">
      <c r="A107" s="134">
        <v>21665</v>
      </c>
      <c r="B107" s="138" t="s">
        <v>561</v>
      </c>
      <c r="C107" s="143" t="s">
        <v>562</v>
      </c>
      <c r="D107" s="181">
        <v>2.186982</v>
      </c>
      <c r="E107" s="185">
        <v>0.4</v>
      </c>
    </row>
    <row r="108" spans="1:5" x14ac:dyDescent="0.3">
      <c r="A108" s="134">
        <v>21694</v>
      </c>
      <c r="B108" s="138" t="s">
        <v>563</v>
      </c>
      <c r="C108" s="143" t="s">
        <v>564</v>
      </c>
      <c r="D108" s="181">
        <v>10.953810000000001</v>
      </c>
      <c r="E108" s="185">
        <v>1.1000000000000001</v>
      </c>
    </row>
    <row r="109" spans="1:5" x14ac:dyDescent="0.3">
      <c r="A109" s="134">
        <v>99010</v>
      </c>
      <c r="B109" s="138" t="s">
        <v>565</v>
      </c>
      <c r="C109" s="143" t="s">
        <v>566</v>
      </c>
      <c r="D109" s="181">
        <v>12.8033</v>
      </c>
      <c r="E109" s="185">
        <v>1.1000000000000001</v>
      </c>
    </row>
    <row r="110" spans="1:5" x14ac:dyDescent="0.3">
      <c r="A110" s="134"/>
      <c r="B110" s="138"/>
      <c r="C110" s="136" t="s">
        <v>567</v>
      </c>
      <c r="D110" s="181"/>
      <c r="E110" s="185"/>
    </row>
    <row r="111" spans="1:5" x14ac:dyDescent="0.3">
      <c r="A111" s="134">
        <v>21724</v>
      </c>
      <c r="B111" s="138" t="s">
        <v>568</v>
      </c>
      <c r="C111" s="143" t="s">
        <v>569</v>
      </c>
      <c r="D111" s="181">
        <v>14.97048</v>
      </c>
      <c r="E111" s="185">
        <v>1.1000000000000001</v>
      </c>
    </row>
    <row r="112" spans="1:5" x14ac:dyDescent="0.3">
      <c r="A112" s="134">
        <v>21764</v>
      </c>
      <c r="B112" s="138" t="s">
        <v>570</v>
      </c>
      <c r="C112" s="143" t="s">
        <v>571</v>
      </c>
      <c r="D112" s="181">
        <v>24.0961</v>
      </c>
      <c r="E112" s="185">
        <v>1.1000000000000001</v>
      </c>
    </row>
    <row r="113" spans="1:5" x14ac:dyDescent="0.3">
      <c r="A113" s="134"/>
      <c r="B113" s="138"/>
      <c r="C113" s="136" t="s">
        <v>572</v>
      </c>
      <c r="D113" s="181"/>
      <c r="E113" s="185"/>
    </row>
    <row r="114" spans="1:5" x14ac:dyDescent="0.3">
      <c r="A114" s="134">
        <v>21775</v>
      </c>
      <c r="B114" s="138" t="s">
        <v>573</v>
      </c>
      <c r="C114" s="143" t="s">
        <v>574</v>
      </c>
      <c r="D114" s="181">
        <v>2.7746880000000003</v>
      </c>
      <c r="E114" s="185">
        <v>1.1000000000000001</v>
      </c>
    </row>
    <row r="115" spans="1:5" ht="14.25" customHeight="1" x14ac:dyDescent="0.3">
      <c r="A115" s="134">
        <v>21777</v>
      </c>
      <c r="B115" s="138" t="s">
        <v>575</v>
      </c>
      <c r="C115" s="143" t="s">
        <v>576</v>
      </c>
      <c r="D115" s="181">
        <v>14.897799999999998</v>
      </c>
      <c r="E115" s="185">
        <v>1.1000000000000001</v>
      </c>
    </row>
    <row r="116" spans="1:5" x14ac:dyDescent="0.3">
      <c r="A116" s="134">
        <v>21240</v>
      </c>
      <c r="B116" s="138" t="s">
        <v>577</v>
      </c>
      <c r="C116" s="143" t="s">
        <v>578</v>
      </c>
      <c r="D116" s="181">
        <v>14.252280000000001</v>
      </c>
      <c r="E116" s="185">
        <v>1.1000000000000001</v>
      </c>
    </row>
    <row r="117" spans="1:5" x14ac:dyDescent="0.3">
      <c r="A117" s="134">
        <v>21789</v>
      </c>
      <c r="B117" s="138" t="s">
        <v>579</v>
      </c>
      <c r="C117" s="143" t="s">
        <v>580</v>
      </c>
      <c r="D117" s="181">
        <v>11.744320823529412</v>
      </c>
      <c r="E117" s="185">
        <v>1.1000000000000001</v>
      </c>
    </row>
    <row r="118" spans="1:5" x14ac:dyDescent="0.3">
      <c r="A118" s="134">
        <v>21794</v>
      </c>
      <c r="B118" s="138" t="s">
        <v>581</v>
      </c>
      <c r="C118" s="143" t="s">
        <v>582</v>
      </c>
      <c r="D118" s="181">
        <v>20.399999999999999</v>
      </c>
      <c r="E118" s="185">
        <v>1.1000000000000001</v>
      </c>
    </row>
    <row r="119" spans="1:5" x14ac:dyDescent="0.3">
      <c r="A119" s="134"/>
      <c r="B119" s="138"/>
      <c r="C119" s="136" t="s">
        <v>583</v>
      </c>
      <c r="D119" s="181"/>
      <c r="E119" s="185"/>
    </row>
    <row r="120" spans="1:5" x14ac:dyDescent="0.3">
      <c r="A120" s="134">
        <v>21809</v>
      </c>
      <c r="B120" s="138" t="s">
        <v>584</v>
      </c>
      <c r="C120" s="143" t="s">
        <v>585</v>
      </c>
      <c r="D120" s="181">
        <v>10.363692324136416</v>
      </c>
      <c r="E120" s="185">
        <v>1.1000000000000001</v>
      </c>
    </row>
    <row r="121" spans="1:5" x14ac:dyDescent="0.3">
      <c r="A121" s="134">
        <v>21819</v>
      </c>
      <c r="B121" s="138" t="s">
        <v>586</v>
      </c>
      <c r="C121" s="143" t="s">
        <v>587</v>
      </c>
      <c r="D121" s="181">
        <v>7.9577400000000003</v>
      </c>
      <c r="E121" s="185">
        <v>1.1000000000000001</v>
      </c>
    </row>
    <row r="122" spans="1:5" x14ac:dyDescent="0.3">
      <c r="A122" s="134">
        <v>21822</v>
      </c>
      <c r="B122" s="138" t="s">
        <v>588</v>
      </c>
      <c r="C122" s="143" t="s">
        <v>589</v>
      </c>
      <c r="D122" s="181">
        <v>11.161709999999999</v>
      </c>
      <c r="E122" s="185">
        <v>1.1000000000000001</v>
      </c>
    </row>
    <row r="123" spans="1:5" x14ac:dyDescent="0.3">
      <c r="A123" s="134">
        <v>21832</v>
      </c>
      <c r="B123" s="138" t="s">
        <v>590</v>
      </c>
      <c r="C123" s="143" t="s">
        <v>591</v>
      </c>
      <c r="D123" s="181">
        <v>3.9221699999999999</v>
      </c>
      <c r="E123" s="185">
        <v>1.1000000000000001</v>
      </c>
    </row>
    <row r="124" spans="1:5" x14ac:dyDescent="0.3">
      <c r="A124" s="134"/>
      <c r="B124" s="138"/>
      <c r="C124" s="136" t="s">
        <v>592</v>
      </c>
      <c r="D124" s="181"/>
      <c r="E124" s="185"/>
    </row>
    <row r="125" spans="1:5" x14ac:dyDescent="0.3">
      <c r="A125" s="134">
        <v>21860</v>
      </c>
      <c r="B125" s="138" t="s">
        <v>593</v>
      </c>
      <c r="C125" s="143" t="s">
        <v>594</v>
      </c>
      <c r="D125" s="181">
        <v>19.396691999999998</v>
      </c>
      <c r="E125" s="185">
        <v>1.1000000000000001</v>
      </c>
    </row>
    <row r="126" spans="1:5" x14ac:dyDescent="0.3">
      <c r="A126" s="134">
        <v>21857</v>
      </c>
      <c r="B126" s="138" t="s">
        <v>595</v>
      </c>
      <c r="C126" s="143" t="s">
        <v>596</v>
      </c>
      <c r="D126" s="181">
        <v>12.649391999999999</v>
      </c>
      <c r="E126" s="185">
        <v>1.1000000000000001</v>
      </c>
    </row>
    <row r="127" spans="1:5" x14ac:dyDescent="0.3">
      <c r="A127" s="134">
        <v>21875</v>
      </c>
      <c r="B127" s="138" t="s">
        <v>597</v>
      </c>
      <c r="C127" s="143" t="s">
        <v>598</v>
      </c>
      <c r="D127" s="181">
        <v>15.178380000000001</v>
      </c>
      <c r="E127" s="185">
        <v>1.1000000000000001</v>
      </c>
    </row>
    <row r="128" spans="1:5" x14ac:dyDescent="0.3">
      <c r="A128" s="134">
        <v>21895</v>
      </c>
      <c r="B128" s="138" t="s">
        <v>599</v>
      </c>
      <c r="C128" s="143" t="s">
        <v>600</v>
      </c>
      <c r="D128" s="181">
        <v>13.93098</v>
      </c>
      <c r="E128" s="185">
        <v>1.1000000000000001</v>
      </c>
    </row>
    <row r="129" spans="1:5" x14ac:dyDescent="0.3">
      <c r="A129" s="134">
        <v>21904</v>
      </c>
      <c r="B129" s="138" t="s">
        <v>601</v>
      </c>
      <c r="C129" s="143" t="s">
        <v>602</v>
      </c>
      <c r="D129" s="181">
        <v>14.87598</v>
      </c>
      <c r="E129" s="185">
        <v>1.1000000000000001</v>
      </c>
    </row>
    <row r="130" spans="1:5" x14ac:dyDescent="0.3">
      <c r="A130" s="134">
        <v>21906</v>
      </c>
      <c r="B130" s="138" t="s">
        <v>603</v>
      </c>
      <c r="C130" s="143" t="s">
        <v>604</v>
      </c>
      <c r="D130" s="181">
        <v>1.9651000000000001</v>
      </c>
      <c r="E130" s="185">
        <v>0.45</v>
      </c>
    </row>
    <row r="131" spans="1:5" x14ac:dyDescent="0.3">
      <c r="A131" s="134">
        <v>21900</v>
      </c>
      <c r="B131" s="138" t="s">
        <v>605</v>
      </c>
      <c r="C131" s="143" t="s">
        <v>606</v>
      </c>
      <c r="D131" s="181">
        <v>1.6406879999999999</v>
      </c>
      <c r="E131" s="185">
        <v>0.45</v>
      </c>
    </row>
    <row r="132" spans="1:5" x14ac:dyDescent="0.3">
      <c r="A132" s="134">
        <v>21932</v>
      </c>
      <c r="B132" s="138" t="s">
        <v>607</v>
      </c>
      <c r="C132" s="143" t="s">
        <v>608</v>
      </c>
      <c r="D132" s="181">
        <v>1.5298101</v>
      </c>
      <c r="E132" s="185">
        <v>0.7</v>
      </c>
    </row>
    <row r="133" spans="1:5" x14ac:dyDescent="0.3">
      <c r="A133" s="134">
        <v>21929</v>
      </c>
      <c r="B133" s="138" t="s">
        <v>609</v>
      </c>
      <c r="C133" s="143" t="s">
        <v>610</v>
      </c>
      <c r="D133" s="181">
        <v>9.1130279451167215</v>
      </c>
      <c r="E133" s="185">
        <v>1.1000000000000001</v>
      </c>
    </row>
    <row r="134" spans="1:5" x14ac:dyDescent="0.3">
      <c r="A134" s="134">
        <v>21938</v>
      </c>
      <c r="B134" s="138" t="s">
        <v>611</v>
      </c>
      <c r="C134" s="143" t="s">
        <v>612</v>
      </c>
      <c r="D134" s="181">
        <v>11.935781702506505</v>
      </c>
      <c r="E134" s="185">
        <v>1.1000000000000001</v>
      </c>
    </row>
    <row r="135" spans="1:5" x14ac:dyDescent="0.3">
      <c r="A135" s="134">
        <v>21935</v>
      </c>
      <c r="B135" s="138" t="s">
        <v>613</v>
      </c>
      <c r="C135" s="143" t="s">
        <v>614</v>
      </c>
      <c r="D135" s="181">
        <v>1.244691</v>
      </c>
      <c r="E135" s="185">
        <v>0.4</v>
      </c>
    </row>
    <row r="136" spans="1:5" x14ac:dyDescent="0.3">
      <c r="A136" s="134">
        <v>21971</v>
      </c>
      <c r="B136" s="138" t="s">
        <v>615</v>
      </c>
      <c r="C136" s="143" t="s">
        <v>616</v>
      </c>
      <c r="D136" s="181">
        <v>24.4635</v>
      </c>
      <c r="E136" s="185">
        <v>1.1000000000000001</v>
      </c>
    </row>
    <row r="137" spans="1:5" x14ac:dyDescent="0.3">
      <c r="A137" s="134">
        <v>21976</v>
      </c>
      <c r="B137" s="138" t="s">
        <v>617</v>
      </c>
      <c r="C137" s="143" t="s">
        <v>618</v>
      </c>
      <c r="D137" s="181">
        <v>1.1222925000000001</v>
      </c>
      <c r="E137" s="185">
        <v>0.45</v>
      </c>
    </row>
    <row r="138" spans="1:5" x14ac:dyDescent="0.3">
      <c r="A138" s="134">
        <v>21989</v>
      </c>
      <c r="B138" s="138" t="s">
        <v>619</v>
      </c>
      <c r="C138" s="143" t="s">
        <v>620</v>
      </c>
      <c r="D138" s="181">
        <v>3.4721820000000001</v>
      </c>
      <c r="E138" s="185">
        <v>1.1000000000000001</v>
      </c>
    </row>
    <row r="139" spans="1:5" x14ac:dyDescent="0.3">
      <c r="A139" s="134">
        <v>21992</v>
      </c>
      <c r="B139" s="138" t="s">
        <v>621</v>
      </c>
      <c r="C139" s="143" t="s">
        <v>622</v>
      </c>
      <c r="D139" s="181">
        <v>22.672650000000001</v>
      </c>
      <c r="E139" s="185">
        <v>1.1000000000000001</v>
      </c>
    </row>
    <row r="140" spans="1:5" x14ac:dyDescent="0.3">
      <c r="A140" s="134">
        <v>21995</v>
      </c>
      <c r="B140" s="138" t="s">
        <v>623</v>
      </c>
      <c r="C140" s="143" t="s">
        <v>624</v>
      </c>
      <c r="D140" s="181">
        <v>32.630600000000001</v>
      </c>
      <c r="E140" s="185">
        <v>1.1000000000000001</v>
      </c>
    </row>
    <row r="141" spans="1:5" x14ac:dyDescent="0.3">
      <c r="A141" s="134">
        <v>22003</v>
      </c>
      <c r="B141" s="138" t="s">
        <v>625</v>
      </c>
      <c r="C141" s="143" t="s">
        <v>626</v>
      </c>
      <c r="D141" s="181">
        <v>15.139740000000003</v>
      </c>
      <c r="E141" s="185">
        <v>1.1000000000000001</v>
      </c>
    </row>
    <row r="142" spans="1:5" x14ac:dyDescent="0.3">
      <c r="A142" s="134">
        <v>22011</v>
      </c>
      <c r="B142" s="138" t="s">
        <v>627</v>
      </c>
      <c r="C142" s="143" t="s">
        <v>628</v>
      </c>
      <c r="D142" s="181">
        <v>3.2624759999999999</v>
      </c>
      <c r="E142" s="185">
        <v>1.1000000000000001</v>
      </c>
    </row>
    <row r="143" spans="1:5" x14ac:dyDescent="0.3">
      <c r="A143" s="134">
        <v>22020</v>
      </c>
      <c r="B143" s="138" t="s">
        <v>629</v>
      </c>
      <c r="C143" s="143" t="s">
        <v>630</v>
      </c>
      <c r="D143" s="181">
        <v>3.6782759999999999</v>
      </c>
      <c r="E143" s="185">
        <v>1.1000000000000001</v>
      </c>
    </row>
    <row r="144" spans="1:5" x14ac:dyDescent="0.3">
      <c r="A144" s="134">
        <v>22035</v>
      </c>
      <c r="B144" s="138" t="s">
        <v>631</v>
      </c>
      <c r="C144" s="143" t="s">
        <v>632</v>
      </c>
      <c r="D144" s="181">
        <v>2.8655759999999999</v>
      </c>
      <c r="E144" s="185">
        <v>0.45</v>
      </c>
    </row>
    <row r="145" spans="1:5" x14ac:dyDescent="0.3">
      <c r="A145" s="134"/>
      <c r="B145" s="138"/>
      <c r="C145" s="136" t="s">
        <v>633</v>
      </c>
      <c r="D145" s="181"/>
      <c r="E145" s="185"/>
    </row>
    <row r="146" spans="1:5" x14ac:dyDescent="0.3">
      <c r="A146" s="134">
        <v>22040</v>
      </c>
      <c r="B146" s="138" t="s">
        <v>634</v>
      </c>
      <c r="C146" s="143" t="s">
        <v>635</v>
      </c>
      <c r="D146" s="181">
        <v>18.51465</v>
      </c>
      <c r="E146" s="185">
        <v>1.1000000000000001</v>
      </c>
    </row>
    <row r="147" spans="1:5" x14ac:dyDescent="0.3">
      <c r="A147" s="134">
        <v>22050</v>
      </c>
      <c r="B147" s="138" t="s">
        <v>636</v>
      </c>
      <c r="C147" s="143" t="s">
        <v>637</v>
      </c>
      <c r="D147" s="181">
        <v>9.3194999999999997</v>
      </c>
      <c r="E147" s="185">
        <v>1.1000000000000001</v>
      </c>
    </row>
    <row r="148" spans="1:5" x14ac:dyDescent="0.3">
      <c r="A148" s="134">
        <v>22076</v>
      </c>
      <c r="B148" s="138" t="s">
        <v>638</v>
      </c>
      <c r="C148" s="143" t="s">
        <v>639</v>
      </c>
      <c r="D148" s="181">
        <v>0.86759399999999998</v>
      </c>
      <c r="E148" s="185">
        <v>0.35</v>
      </c>
    </row>
    <row r="149" spans="1:5" x14ac:dyDescent="0.3">
      <c r="A149" s="134">
        <v>22073</v>
      </c>
      <c r="B149" s="138" t="s">
        <v>640</v>
      </c>
      <c r="C149" s="143" t="s">
        <v>641</v>
      </c>
      <c r="D149" s="181">
        <v>1.2808328794927892</v>
      </c>
      <c r="E149" s="185">
        <v>0.35</v>
      </c>
    </row>
    <row r="150" spans="1:5" ht="28.5" x14ac:dyDescent="0.3">
      <c r="A150" s="134"/>
      <c r="B150" s="138"/>
      <c r="C150" s="136" t="s">
        <v>642</v>
      </c>
      <c r="D150" s="181"/>
      <c r="E150" s="185"/>
    </row>
    <row r="151" spans="1:5" x14ac:dyDescent="0.3">
      <c r="A151" s="134">
        <v>22099</v>
      </c>
      <c r="B151" s="138" t="s">
        <v>643</v>
      </c>
      <c r="C151" s="143" t="s">
        <v>644</v>
      </c>
      <c r="D151" s="181">
        <v>7.5338760000000011</v>
      </c>
      <c r="E151" s="185">
        <v>1.1000000000000001</v>
      </c>
    </row>
    <row r="152" spans="1:5" x14ac:dyDescent="0.3">
      <c r="A152" s="134"/>
      <c r="B152" s="138"/>
      <c r="C152" s="136" t="s">
        <v>645</v>
      </c>
      <c r="D152" s="181"/>
      <c r="E152" s="185"/>
    </row>
    <row r="153" spans="1:5" x14ac:dyDescent="0.3">
      <c r="A153" s="134">
        <v>22116</v>
      </c>
      <c r="B153" s="138" t="s">
        <v>646</v>
      </c>
      <c r="C153" s="143" t="s">
        <v>647</v>
      </c>
      <c r="D153" s="181">
        <v>7.2478113749999995</v>
      </c>
      <c r="E153" s="185">
        <v>1.1000000000000001</v>
      </c>
    </row>
    <row r="154" spans="1:5" x14ac:dyDescent="0.3">
      <c r="A154" s="134">
        <v>22114</v>
      </c>
      <c r="B154" s="138" t="s">
        <v>648</v>
      </c>
      <c r="C154" s="143" t="s">
        <v>649</v>
      </c>
      <c r="D154" s="181">
        <v>2.173</v>
      </c>
      <c r="E154" s="185">
        <v>0.8</v>
      </c>
    </row>
    <row r="155" spans="1:5" x14ac:dyDescent="0.3">
      <c r="A155" s="134">
        <v>22120</v>
      </c>
      <c r="B155" s="138" t="s">
        <v>650</v>
      </c>
      <c r="C155" s="143" t="s">
        <v>651</v>
      </c>
      <c r="D155" s="181">
        <v>17.456250000000001</v>
      </c>
      <c r="E155" s="185">
        <v>1.1000000000000001</v>
      </c>
    </row>
    <row r="156" spans="1:5" x14ac:dyDescent="0.3">
      <c r="A156" s="134">
        <v>22125</v>
      </c>
      <c r="B156" s="138" t="s">
        <v>652</v>
      </c>
      <c r="C156" s="143" t="s">
        <v>653</v>
      </c>
      <c r="D156" s="181">
        <v>3.1368999999999998</v>
      </c>
      <c r="E156" s="185">
        <v>1.1000000000000001</v>
      </c>
    </row>
    <row r="157" spans="1:5" ht="28.5" x14ac:dyDescent="0.3">
      <c r="A157" s="134"/>
      <c r="B157" s="138"/>
      <c r="C157" s="136" t="s">
        <v>654</v>
      </c>
      <c r="D157" s="181"/>
      <c r="E157" s="185"/>
    </row>
    <row r="158" spans="1:5" x14ac:dyDescent="0.3">
      <c r="A158" s="134">
        <v>22151</v>
      </c>
      <c r="B158" s="138" t="s">
        <v>655</v>
      </c>
      <c r="C158" s="145" t="s">
        <v>656</v>
      </c>
      <c r="D158" s="181">
        <v>10.99161</v>
      </c>
      <c r="E158" s="185">
        <v>1.1000000000000001</v>
      </c>
    </row>
    <row r="159" spans="1:5" x14ac:dyDescent="0.3">
      <c r="A159" s="134">
        <v>22154</v>
      </c>
      <c r="B159" s="138" t="s">
        <v>657</v>
      </c>
      <c r="C159" s="143" t="s">
        <v>658</v>
      </c>
      <c r="D159" s="181">
        <v>0.64169699999999996</v>
      </c>
      <c r="E159" s="185">
        <v>0.35</v>
      </c>
    </row>
    <row r="160" spans="1:5" x14ac:dyDescent="0.3">
      <c r="A160" s="134">
        <v>22164</v>
      </c>
      <c r="B160" s="138" t="s">
        <v>659</v>
      </c>
      <c r="C160" s="143" t="s">
        <v>660</v>
      </c>
      <c r="D160" s="181">
        <v>20.385750000000002</v>
      </c>
      <c r="E160" s="185">
        <v>1.1000000000000001</v>
      </c>
    </row>
    <row r="161" spans="1:5" x14ac:dyDescent="0.3">
      <c r="A161" s="134">
        <v>22167</v>
      </c>
      <c r="B161" s="138" t="s">
        <v>661</v>
      </c>
      <c r="C161" s="143" t="s">
        <v>662</v>
      </c>
      <c r="D161" s="181">
        <v>24.4635</v>
      </c>
      <c r="E161" s="185">
        <v>1.1000000000000001</v>
      </c>
    </row>
    <row r="162" spans="1:5" x14ac:dyDescent="0.3">
      <c r="A162" s="134">
        <v>22187</v>
      </c>
      <c r="B162" s="138" t="s">
        <v>663</v>
      </c>
      <c r="C162" s="143" t="s">
        <v>664</v>
      </c>
      <c r="D162" s="181">
        <v>8.093205139334156</v>
      </c>
      <c r="E162" s="185">
        <v>1.1000000000000001</v>
      </c>
    </row>
    <row r="163" spans="1:5" x14ac:dyDescent="0.3">
      <c r="A163" s="134">
        <v>22200</v>
      </c>
      <c r="B163" s="138" t="s">
        <v>665</v>
      </c>
      <c r="C163" s="143" t="s">
        <v>666</v>
      </c>
      <c r="D163" s="181">
        <v>15.556380000000001</v>
      </c>
      <c r="E163" s="185">
        <v>1.1000000000000001</v>
      </c>
    </row>
    <row r="164" spans="1:5" x14ac:dyDescent="0.3">
      <c r="A164" s="134">
        <v>22215</v>
      </c>
      <c r="B164" s="138" t="s">
        <v>667</v>
      </c>
      <c r="C164" s="143" t="s">
        <v>668</v>
      </c>
      <c r="D164" s="181">
        <v>4.5836699999999997</v>
      </c>
      <c r="E164" s="185">
        <v>1.1000000000000001</v>
      </c>
    </row>
    <row r="165" spans="1:5" x14ac:dyDescent="0.3">
      <c r="A165" s="134">
        <v>22220</v>
      </c>
      <c r="B165" s="138" t="s">
        <v>669</v>
      </c>
      <c r="C165" s="143" t="s">
        <v>670</v>
      </c>
      <c r="D165" s="181">
        <v>12.449414062307596</v>
      </c>
      <c r="E165" s="185">
        <v>1.1000000000000001</v>
      </c>
    </row>
    <row r="166" spans="1:5" x14ac:dyDescent="0.3">
      <c r="A166" s="134">
        <v>22223</v>
      </c>
      <c r="B166" s="138" t="s">
        <v>671</v>
      </c>
      <c r="C166" s="143" t="s">
        <v>672</v>
      </c>
      <c r="D166" s="181">
        <v>24.350099999999998</v>
      </c>
      <c r="E166" s="185">
        <v>1.1000000000000001</v>
      </c>
    </row>
    <row r="167" spans="1:5" x14ac:dyDescent="0.3">
      <c r="A167" s="134">
        <v>22226</v>
      </c>
      <c r="B167" s="138" t="s">
        <v>673</v>
      </c>
      <c r="C167" s="143" t="s">
        <v>674</v>
      </c>
      <c r="D167" s="181">
        <v>11.19951</v>
      </c>
      <c r="E167" s="185">
        <v>1.1000000000000001</v>
      </c>
    </row>
    <row r="168" spans="1:5" x14ac:dyDescent="0.3">
      <c r="A168" s="134">
        <v>22238</v>
      </c>
      <c r="B168" s="138" t="s">
        <v>675</v>
      </c>
      <c r="C168" s="143" t="s">
        <v>676</v>
      </c>
      <c r="D168" s="181">
        <v>8.9603999999999999</v>
      </c>
      <c r="E168" s="185">
        <v>1.1000000000000001</v>
      </c>
    </row>
    <row r="169" spans="1:5" x14ac:dyDescent="0.3">
      <c r="A169" s="134">
        <v>22241</v>
      </c>
      <c r="B169" s="138" t="s">
        <v>677</v>
      </c>
      <c r="C169" s="143" t="s">
        <v>678</v>
      </c>
      <c r="D169" s="181">
        <v>16.595880000000001</v>
      </c>
      <c r="E169" s="185">
        <v>1.1000000000000001</v>
      </c>
    </row>
    <row r="170" spans="1:5" x14ac:dyDescent="0.3">
      <c r="A170" s="134">
        <v>22244</v>
      </c>
      <c r="B170" s="138" t="s">
        <v>679</v>
      </c>
      <c r="C170" s="143" t="s">
        <v>680</v>
      </c>
      <c r="D170" s="181">
        <v>8.9603999999999999</v>
      </c>
      <c r="E170" s="185">
        <v>1.1000000000000001</v>
      </c>
    </row>
    <row r="171" spans="1:5" ht="28.5" x14ac:dyDescent="0.3">
      <c r="A171" s="134"/>
      <c r="B171" s="138"/>
      <c r="C171" s="136" t="s">
        <v>681</v>
      </c>
      <c r="D171" s="181"/>
      <c r="E171" s="185"/>
    </row>
    <row r="172" spans="1:5" x14ac:dyDescent="0.3">
      <c r="A172" s="134">
        <v>22250</v>
      </c>
      <c r="B172" s="138" t="s">
        <v>682</v>
      </c>
      <c r="C172" s="143" t="s">
        <v>683</v>
      </c>
      <c r="D172" s="181">
        <v>20.834699999999998</v>
      </c>
      <c r="E172" s="185">
        <v>1.1000000000000001</v>
      </c>
    </row>
    <row r="173" spans="1:5" x14ac:dyDescent="0.3">
      <c r="A173" s="134">
        <v>22253</v>
      </c>
      <c r="B173" s="138" t="s">
        <v>684</v>
      </c>
      <c r="C173" s="143" t="s">
        <v>685</v>
      </c>
      <c r="D173" s="181">
        <v>8.9595593234538082</v>
      </c>
      <c r="E173" s="185">
        <v>1.1000000000000001</v>
      </c>
    </row>
    <row r="174" spans="1:5" x14ac:dyDescent="0.3">
      <c r="A174" s="134"/>
      <c r="B174" s="138"/>
      <c r="C174" s="136" t="s">
        <v>686</v>
      </c>
      <c r="D174" s="181"/>
      <c r="E174" s="185"/>
    </row>
    <row r="175" spans="1:5" x14ac:dyDescent="0.3">
      <c r="A175" s="134">
        <v>22280</v>
      </c>
      <c r="B175" s="138" t="s">
        <v>687</v>
      </c>
      <c r="C175" s="143" t="s">
        <v>688</v>
      </c>
      <c r="D175" s="181">
        <v>7.61754</v>
      </c>
      <c r="E175" s="185">
        <v>1.1000000000000001</v>
      </c>
    </row>
    <row r="176" spans="1:5" ht="28.5" x14ac:dyDescent="0.3">
      <c r="A176" s="134"/>
      <c r="B176" s="138"/>
      <c r="C176" s="136" t="s">
        <v>689</v>
      </c>
      <c r="D176" s="181"/>
      <c r="E176" s="185"/>
    </row>
    <row r="177" spans="1:5" x14ac:dyDescent="0.3">
      <c r="A177" s="134">
        <v>22270</v>
      </c>
      <c r="B177" s="138" t="s">
        <v>690</v>
      </c>
      <c r="C177" s="143" t="s">
        <v>691</v>
      </c>
      <c r="D177" s="181">
        <v>5.073264</v>
      </c>
      <c r="E177" s="185">
        <v>1.1000000000000001</v>
      </c>
    </row>
    <row r="178" spans="1:5" x14ac:dyDescent="0.3">
      <c r="A178" s="134">
        <v>22271</v>
      </c>
      <c r="B178" s="138" t="s">
        <v>692</v>
      </c>
      <c r="C178" s="143" t="s">
        <v>263</v>
      </c>
      <c r="D178" s="181">
        <v>3.1859729999999997</v>
      </c>
      <c r="E178" s="185">
        <v>0.45</v>
      </c>
    </row>
    <row r="179" spans="1:5" x14ac:dyDescent="0.3">
      <c r="A179" s="134">
        <v>22298</v>
      </c>
      <c r="B179" s="138" t="s">
        <v>693</v>
      </c>
      <c r="C179" s="143" t="s">
        <v>694</v>
      </c>
      <c r="D179" s="181">
        <v>4.3001700000000005</v>
      </c>
      <c r="E179" s="185">
        <v>1.1000000000000001</v>
      </c>
    </row>
    <row r="180" spans="1:5" x14ac:dyDescent="0.3">
      <c r="A180" s="134">
        <v>22306</v>
      </c>
      <c r="B180" s="138" t="s">
        <v>695</v>
      </c>
      <c r="C180" s="143" t="s">
        <v>696</v>
      </c>
      <c r="D180" s="181">
        <v>4.1507760000000005</v>
      </c>
      <c r="E180" s="185">
        <v>1.1000000000000001</v>
      </c>
    </row>
    <row r="181" spans="1:5" x14ac:dyDescent="0.3">
      <c r="A181" s="134">
        <v>22303</v>
      </c>
      <c r="B181" s="138" t="s">
        <v>697</v>
      </c>
      <c r="C181" s="143" t="s">
        <v>698</v>
      </c>
      <c r="D181" s="181">
        <v>0.962094</v>
      </c>
      <c r="E181" s="185">
        <v>0.25</v>
      </c>
    </row>
    <row r="182" spans="1:5" x14ac:dyDescent="0.3">
      <c r="A182" s="134"/>
      <c r="B182" s="138"/>
      <c r="C182" s="136" t="s">
        <v>699</v>
      </c>
      <c r="D182" s="181"/>
      <c r="E182" s="185"/>
    </row>
    <row r="183" spans="1:5" x14ac:dyDescent="0.3">
      <c r="A183" s="134">
        <v>22324</v>
      </c>
      <c r="B183" s="138" t="s">
        <v>700</v>
      </c>
      <c r="C183" s="143" t="s">
        <v>701</v>
      </c>
      <c r="D183" s="181">
        <v>14.894880000000001</v>
      </c>
      <c r="E183" s="185">
        <v>1.1000000000000001</v>
      </c>
    </row>
    <row r="184" spans="1:5" x14ac:dyDescent="0.3">
      <c r="A184" s="134">
        <v>22329</v>
      </c>
      <c r="B184" s="138" t="s">
        <v>702</v>
      </c>
      <c r="C184" s="143" t="s">
        <v>703</v>
      </c>
      <c r="D184" s="181">
        <v>3.1112760000000002</v>
      </c>
      <c r="E184" s="185">
        <v>0.8</v>
      </c>
    </row>
    <row r="185" spans="1:5" x14ac:dyDescent="0.3">
      <c r="A185" s="134">
        <v>22331</v>
      </c>
      <c r="B185" s="138" t="s">
        <v>704</v>
      </c>
      <c r="C185" s="143" t="s">
        <v>705</v>
      </c>
      <c r="D185" s="181">
        <v>30.549299999999999</v>
      </c>
      <c r="E185" s="185">
        <v>1.1000000000000001</v>
      </c>
    </row>
    <row r="186" spans="1:5" x14ac:dyDescent="0.3">
      <c r="A186" s="134">
        <v>22337</v>
      </c>
      <c r="B186" s="138" t="s">
        <v>706</v>
      </c>
      <c r="C186" s="143" t="s">
        <v>707</v>
      </c>
      <c r="D186" s="181">
        <v>9.5264400000000009</v>
      </c>
      <c r="E186" s="185">
        <v>1.1000000000000001</v>
      </c>
    </row>
    <row r="187" spans="1:5" x14ac:dyDescent="0.3">
      <c r="A187" s="134">
        <v>22340</v>
      </c>
      <c r="B187" s="138" t="s">
        <v>708</v>
      </c>
      <c r="C187" s="143" t="s">
        <v>709</v>
      </c>
      <c r="D187" s="181">
        <v>8.7228453547232441</v>
      </c>
      <c r="E187" s="185">
        <v>1.1000000000000001</v>
      </c>
    </row>
    <row r="188" spans="1:5" x14ac:dyDescent="0.3">
      <c r="A188" s="134">
        <v>21835</v>
      </c>
      <c r="B188" s="138" t="s">
        <v>710</v>
      </c>
      <c r="C188" s="143" t="s">
        <v>711</v>
      </c>
      <c r="D188" s="181">
        <v>7.1275999999999993</v>
      </c>
      <c r="E188" s="185">
        <v>1.1000000000000001</v>
      </c>
    </row>
    <row r="189" spans="1:5" x14ac:dyDescent="0.3">
      <c r="A189" s="134">
        <v>22347</v>
      </c>
      <c r="B189" s="138" t="s">
        <v>712</v>
      </c>
      <c r="C189" s="143" t="s">
        <v>713</v>
      </c>
      <c r="D189" s="181">
        <v>2.8484820000000002</v>
      </c>
      <c r="E189" s="185">
        <v>1.1000000000000001</v>
      </c>
    </row>
    <row r="190" spans="1:5" x14ac:dyDescent="0.3">
      <c r="A190" s="134">
        <v>22357</v>
      </c>
      <c r="B190" s="138" t="s">
        <v>714</v>
      </c>
      <c r="C190" s="143" t="s">
        <v>715</v>
      </c>
      <c r="D190" s="181">
        <v>2.1590834999999999</v>
      </c>
      <c r="E190" s="185">
        <v>0.7</v>
      </c>
    </row>
    <row r="191" spans="1:5" x14ac:dyDescent="0.3">
      <c r="A191" s="134">
        <v>22400</v>
      </c>
      <c r="B191" s="138" t="s">
        <v>716</v>
      </c>
      <c r="C191" s="143" t="s">
        <v>717</v>
      </c>
      <c r="D191" s="181">
        <v>29.410080000000001</v>
      </c>
      <c r="E191" s="185">
        <v>1.1000000000000001</v>
      </c>
    </row>
    <row r="192" spans="1:5" ht="28.5" x14ac:dyDescent="0.3">
      <c r="A192" s="134"/>
      <c r="B192" s="138"/>
      <c r="C192" s="136" t="s">
        <v>718</v>
      </c>
      <c r="D192" s="181"/>
      <c r="E192" s="185"/>
    </row>
    <row r="193" spans="1:5" x14ac:dyDescent="0.3">
      <c r="A193" s="134">
        <v>22443</v>
      </c>
      <c r="B193" s="138" t="s">
        <v>719</v>
      </c>
      <c r="C193" s="143" t="s">
        <v>720</v>
      </c>
      <c r="D193" s="181">
        <v>9.83872575</v>
      </c>
      <c r="E193" s="185">
        <v>1.1000000000000001</v>
      </c>
    </row>
    <row r="194" spans="1:5" x14ac:dyDescent="0.3">
      <c r="A194" s="134">
        <v>22410</v>
      </c>
      <c r="B194" s="138" t="s">
        <v>721</v>
      </c>
      <c r="C194" s="143" t="s">
        <v>722</v>
      </c>
      <c r="D194" s="181">
        <v>14.393610000000001</v>
      </c>
      <c r="E194" s="185">
        <v>1.1000000000000001</v>
      </c>
    </row>
    <row r="195" spans="1:5" x14ac:dyDescent="0.3">
      <c r="A195" s="134">
        <v>22413</v>
      </c>
      <c r="B195" s="138" t="s">
        <v>723</v>
      </c>
      <c r="C195" s="143" t="s">
        <v>724</v>
      </c>
      <c r="D195" s="181">
        <v>12.352409999999999</v>
      </c>
      <c r="E195" s="185">
        <v>1.1000000000000001</v>
      </c>
    </row>
    <row r="196" spans="1:5" x14ac:dyDescent="0.3">
      <c r="A196" s="134">
        <v>22451</v>
      </c>
      <c r="B196" s="138" t="s">
        <v>725</v>
      </c>
      <c r="C196" s="143" t="s">
        <v>726</v>
      </c>
      <c r="D196" s="181">
        <v>16.860479999999999</v>
      </c>
      <c r="E196" s="185">
        <v>1.1000000000000001</v>
      </c>
    </row>
    <row r="197" spans="1:5" x14ac:dyDescent="0.3">
      <c r="A197" s="134">
        <v>22456</v>
      </c>
      <c r="B197" s="138" t="s">
        <v>727</v>
      </c>
      <c r="C197" s="143" t="s">
        <v>728</v>
      </c>
      <c r="D197" s="181">
        <v>6.9389459999999996</v>
      </c>
      <c r="E197" s="185">
        <v>1.1000000000000001</v>
      </c>
    </row>
    <row r="198" spans="1:5" x14ac:dyDescent="0.3">
      <c r="A198" s="134">
        <v>22461</v>
      </c>
      <c r="B198" s="138" t="s">
        <v>729</v>
      </c>
      <c r="C198" s="143" t="s">
        <v>730</v>
      </c>
      <c r="D198" s="181">
        <v>2.6243910000000001</v>
      </c>
      <c r="E198" s="185">
        <v>1.1000000000000001</v>
      </c>
    </row>
    <row r="199" spans="1:5" x14ac:dyDescent="0.3">
      <c r="A199" s="134">
        <v>22471</v>
      </c>
      <c r="B199" s="138" t="s">
        <v>731</v>
      </c>
      <c r="C199" s="143" t="s">
        <v>732</v>
      </c>
      <c r="D199" s="181">
        <v>13.108409999999999</v>
      </c>
      <c r="E199" s="185">
        <v>1.1000000000000001</v>
      </c>
    </row>
    <row r="200" spans="1:5" x14ac:dyDescent="0.3">
      <c r="A200" s="134">
        <v>22481</v>
      </c>
      <c r="B200" s="138" t="s">
        <v>733</v>
      </c>
      <c r="C200" s="143" t="s">
        <v>734</v>
      </c>
      <c r="D200" s="181">
        <v>17.18178</v>
      </c>
      <c r="E200" s="185">
        <v>1.1000000000000001</v>
      </c>
    </row>
    <row r="201" spans="1:5" x14ac:dyDescent="0.3">
      <c r="A201" s="134">
        <v>22511</v>
      </c>
      <c r="B201" s="138" t="s">
        <v>735</v>
      </c>
      <c r="C201" s="143" t="s">
        <v>736</v>
      </c>
      <c r="D201" s="181">
        <v>3.149076</v>
      </c>
      <c r="E201" s="185">
        <v>0.9</v>
      </c>
    </row>
    <row r="202" spans="1:5" x14ac:dyDescent="0.3">
      <c r="A202" s="134">
        <v>22513</v>
      </c>
      <c r="B202" s="138" t="s">
        <v>737</v>
      </c>
      <c r="C202" s="143" t="s">
        <v>738</v>
      </c>
      <c r="D202" s="181">
        <v>10.531887265700483</v>
      </c>
      <c r="E202" s="185">
        <v>1.1000000000000001</v>
      </c>
    </row>
    <row r="203" spans="1:5" x14ac:dyDescent="0.3">
      <c r="A203" s="134">
        <v>22521</v>
      </c>
      <c r="B203" s="138" t="s">
        <v>739</v>
      </c>
      <c r="C203" s="143" t="s">
        <v>740</v>
      </c>
      <c r="D203" s="181">
        <v>5.0561699999999998</v>
      </c>
      <c r="E203" s="185">
        <v>1.1000000000000001</v>
      </c>
    </row>
    <row r="204" spans="1:5" x14ac:dyDescent="0.3">
      <c r="A204" s="134">
        <v>22541</v>
      </c>
      <c r="B204" s="138" t="s">
        <v>741</v>
      </c>
      <c r="C204" s="143" t="s">
        <v>742</v>
      </c>
      <c r="D204" s="181">
        <v>15.73551</v>
      </c>
      <c r="E204" s="185">
        <v>1.1000000000000001</v>
      </c>
    </row>
    <row r="205" spans="1:5" x14ac:dyDescent="0.3">
      <c r="A205" s="134">
        <v>22581</v>
      </c>
      <c r="B205" s="138" t="s">
        <v>743</v>
      </c>
      <c r="C205" s="143" t="s">
        <v>744</v>
      </c>
      <c r="D205" s="181">
        <v>12.656499999999999</v>
      </c>
      <c r="E205" s="185">
        <v>1.1000000000000001</v>
      </c>
    </row>
    <row r="206" spans="1:5" x14ac:dyDescent="0.3">
      <c r="A206" s="134">
        <v>22586</v>
      </c>
      <c r="B206" s="138" t="s">
        <v>745</v>
      </c>
      <c r="C206" s="143" t="s">
        <v>746</v>
      </c>
      <c r="D206" s="181">
        <v>0.84869400000000006</v>
      </c>
      <c r="E206" s="185">
        <v>0.3</v>
      </c>
    </row>
    <row r="207" spans="1:5" x14ac:dyDescent="0.3">
      <c r="A207" s="134">
        <v>22604</v>
      </c>
      <c r="B207" s="138" t="s">
        <v>747</v>
      </c>
      <c r="C207" s="143" t="s">
        <v>748</v>
      </c>
      <c r="D207" s="181">
        <v>4.6214700000000004</v>
      </c>
      <c r="E207" s="185">
        <v>1.1000000000000001</v>
      </c>
    </row>
    <row r="208" spans="1:5" x14ac:dyDescent="0.3">
      <c r="A208" s="134">
        <v>22608</v>
      </c>
      <c r="B208" s="138" t="s">
        <v>749</v>
      </c>
      <c r="C208" s="143" t="s">
        <v>750</v>
      </c>
      <c r="D208" s="181">
        <v>7.7591000000000001</v>
      </c>
      <c r="E208" s="185">
        <v>1.1000000000000001</v>
      </c>
    </row>
    <row r="209" spans="1:5" x14ac:dyDescent="0.3">
      <c r="A209" s="134">
        <v>22609</v>
      </c>
      <c r="B209" s="138" t="s">
        <v>751</v>
      </c>
      <c r="C209" s="143" t="s">
        <v>752</v>
      </c>
      <c r="D209" s="181">
        <v>11.561363204301076</v>
      </c>
      <c r="E209" s="185">
        <v>1.1000000000000001</v>
      </c>
    </row>
    <row r="210" spans="1:5" x14ac:dyDescent="0.3">
      <c r="A210" s="134">
        <v>22607</v>
      </c>
      <c r="B210" s="138" t="s">
        <v>753</v>
      </c>
      <c r="C210" s="143" t="s">
        <v>270</v>
      </c>
      <c r="D210" s="181">
        <v>1.9381814692982458</v>
      </c>
      <c r="E210" s="185">
        <v>0.8</v>
      </c>
    </row>
    <row r="211" spans="1:5" x14ac:dyDescent="0.3">
      <c r="A211" s="134">
        <v>22612</v>
      </c>
      <c r="B211" s="138" t="s">
        <v>754</v>
      </c>
      <c r="C211" s="143" t="s">
        <v>755</v>
      </c>
      <c r="D211" s="181">
        <v>7.9766400000000006</v>
      </c>
      <c r="E211" s="185">
        <v>1.1000000000000001</v>
      </c>
    </row>
    <row r="212" spans="1:5" x14ac:dyDescent="0.3">
      <c r="A212" s="134">
        <v>22611</v>
      </c>
      <c r="B212" s="138" t="s">
        <v>756</v>
      </c>
      <c r="C212" s="143" t="s">
        <v>757</v>
      </c>
      <c r="D212" s="181">
        <v>1.282491</v>
      </c>
      <c r="E212" s="185">
        <v>0.55000000000000004</v>
      </c>
    </row>
    <row r="213" spans="1:5" x14ac:dyDescent="0.3">
      <c r="A213" s="134">
        <v>22617</v>
      </c>
      <c r="B213" s="138" t="s">
        <v>758</v>
      </c>
      <c r="C213" s="143" t="s">
        <v>759</v>
      </c>
      <c r="D213" s="181">
        <v>1.187991</v>
      </c>
      <c r="E213" s="185">
        <v>0.35</v>
      </c>
    </row>
    <row r="214" spans="1:5" x14ac:dyDescent="0.3">
      <c r="A214" s="134">
        <v>22622</v>
      </c>
      <c r="B214" s="138" t="s">
        <v>760</v>
      </c>
      <c r="C214" s="143" t="s">
        <v>761</v>
      </c>
      <c r="D214" s="181">
        <v>7.2035459999999993</v>
      </c>
      <c r="E214" s="185">
        <v>1.1000000000000001</v>
      </c>
    </row>
    <row r="215" spans="1:5" x14ac:dyDescent="0.3">
      <c r="A215" s="134">
        <v>22627</v>
      </c>
      <c r="B215" s="138" t="s">
        <v>762</v>
      </c>
      <c r="C215" s="143" t="s">
        <v>763</v>
      </c>
      <c r="D215" s="181">
        <v>7.7802606000000001</v>
      </c>
      <c r="E215" s="185">
        <v>1.1000000000000001</v>
      </c>
    </row>
    <row r="216" spans="1:5" x14ac:dyDescent="0.3">
      <c r="A216" s="134">
        <v>22642</v>
      </c>
      <c r="B216" s="138" t="s">
        <v>764</v>
      </c>
      <c r="C216" s="143" t="s">
        <v>765</v>
      </c>
      <c r="D216" s="181">
        <v>9.4139999999999997</v>
      </c>
      <c r="E216" s="185">
        <v>1.1000000000000001</v>
      </c>
    </row>
    <row r="217" spans="1:5" x14ac:dyDescent="0.3">
      <c r="A217" s="134">
        <v>22647</v>
      </c>
      <c r="B217" s="138" t="s">
        <v>766</v>
      </c>
      <c r="C217" s="143" t="s">
        <v>767</v>
      </c>
      <c r="D217" s="181">
        <v>8.9603999999999999</v>
      </c>
      <c r="E217" s="185">
        <v>1.1000000000000001</v>
      </c>
    </row>
    <row r="218" spans="1:5" x14ac:dyDescent="0.3">
      <c r="A218" s="134">
        <v>22671</v>
      </c>
      <c r="B218" s="138" t="s">
        <v>768</v>
      </c>
      <c r="C218" s="143" t="s">
        <v>769</v>
      </c>
      <c r="D218" s="181">
        <v>7.9388399999999999</v>
      </c>
      <c r="E218" s="185">
        <v>1.1000000000000001</v>
      </c>
    </row>
    <row r="219" spans="1:5" x14ac:dyDescent="0.3">
      <c r="A219" s="134">
        <v>22669</v>
      </c>
      <c r="B219" s="138" t="s">
        <v>770</v>
      </c>
      <c r="C219" s="143" t="s">
        <v>771</v>
      </c>
      <c r="D219" s="181">
        <v>1.8116909999999999</v>
      </c>
      <c r="E219" s="185">
        <v>1.1000000000000001</v>
      </c>
    </row>
    <row r="220" spans="1:5" x14ac:dyDescent="0.3">
      <c r="A220" s="134">
        <v>22673</v>
      </c>
      <c r="B220" s="138" t="s">
        <v>772</v>
      </c>
      <c r="C220" s="143" t="s">
        <v>773</v>
      </c>
      <c r="D220" s="181">
        <v>20.418900000000001</v>
      </c>
      <c r="E220" s="185">
        <v>1.1000000000000001</v>
      </c>
    </row>
    <row r="221" spans="1:5" x14ac:dyDescent="0.3">
      <c r="A221" s="134">
        <v>22685</v>
      </c>
      <c r="B221" s="138" t="s">
        <v>774</v>
      </c>
      <c r="C221" s="143" t="s">
        <v>775</v>
      </c>
      <c r="D221" s="181">
        <v>8.5151000000000003</v>
      </c>
      <c r="E221" s="185">
        <v>1.1000000000000001</v>
      </c>
    </row>
    <row r="222" spans="1:5" x14ac:dyDescent="0.3">
      <c r="A222" s="134">
        <v>22682</v>
      </c>
      <c r="B222" s="138" t="s">
        <v>776</v>
      </c>
      <c r="C222" s="143" t="s">
        <v>777</v>
      </c>
      <c r="D222" s="181">
        <v>2.8295819999999998</v>
      </c>
      <c r="E222" s="185">
        <v>1.1000000000000001</v>
      </c>
    </row>
    <row r="223" spans="1:5" x14ac:dyDescent="0.3">
      <c r="A223" s="134">
        <v>22679</v>
      </c>
      <c r="B223" s="138" t="s">
        <v>778</v>
      </c>
      <c r="C223" s="143" t="s">
        <v>779</v>
      </c>
      <c r="D223" s="181">
        <v>0.962094</v>
      </c>
      <c r="E223" s="185">
        <v>0.45</v>
      </c>
    </row>
    <row r="224" spans="1:5" x14ac:dyDescent="0.3">
      <c r="A224" s="134">
        <v>22690</v>
      </c>
      <c r="B224" s="138" t="s">
        <v>780</v>
      </c>
      <c r="C224" s="143" t="s">
        <v>781</v>
      </c>
      <c r="D224" s="181">
        <v>14.204609999999999</v>
      </c>
      <c r="E224" s="185">
        <v>1.1000000000000001</v>
      </c>
    </row>
    <row r="225" spans="1:5" ht="28.5" x14ac:dyDescent="0.3">
      <c r="A225" s="134">
        <v>22700</v>
      </c>
      <c r="B225" s="138" t="s">
        <v>782</v>
      </c>
      <c r="C225" s="146" t="s">
        <v>783</v>
      </c>
      <c r="D225" s="181">
        <v>42.439599999999999</v>
      </c>
      <c r="E225" s="185">
        <v>1.1000000000000001</v>
      </c>
    </row>
    <row r="226" spans="1:5" x14ac:dyDescent="0.3">
      <c r="A226" s="134">
        <v>22963</v>
      </c>
      <c r="B226" s="138" t="s">
        <v>784</v>
      </c>
      <c r="C226" s="143" t="s">
        <v>785</v>
      </c>
      <c r="D226" s="181">
        <v>2.3620000000000001</v>
      </c>
      <c r="E226" s="185">
        <v>1.1000000000000001</v>
      </c>
    </row>
    <row r="227" spans="1:5" x14ac:dyDescent="0.3">
      <c r="A227" s="134">
        <v>22999</v>
      </c>
      <c r="B227" s="138" t="s">
        <v>786</v>
      </c>
      <c r="C227" s="143" t="s">
        <v>787</v>
      </c>
      <c r="D227" s="181">
        <v>8.4491399999999999</v>
      </c>
      <c r="E227" s="185">
        <v>1.1000000000000001</v>
      </c>
    </row>
    <row r="228" spans="1:5" ht="14.25" customHeight="1" x14ac:dyDescent="0.3">
      <c r="A228" s="134">
        <v>22703</v>
      </c>
      <c r="B228" s="138" t="s">
        <v>788</v>
      </c>
      <c r="C228" s="147" t="s">
        <v>789</v>
      </c>
      <c r="D228" s="181">
        <v>9.7216000000000005</v>
      </c>
      <c r="E228" s="185">
        <v>1.1000000000000001</v>
      </c>
    </row>
    <row r="229" spans="1:5" ht="28.5" x14ac:dyDescent="0.3">
      <c r="A229" s="134">
        <v>22256</v>
      </c>
      <c r="B229" s="138" t="s">
        <v>790</v>
      </c>
      <c r="C229" s="147" t="s">
        <v>791</v>
      </c>
      <c r="D229" s="181">
        <v>5.5618249999999998</v>
      </c>
      <c r="E229" s="185">
        <v>1.1000000000000001</v>
      </c>
    </row>
    <row r="230" spans="1:5" ht="28.5" x14ac:dyDescent="0.3">
      <c r="A230" s="134">
        <v>21596</v>
      </c>
      <c r="B230" s="138" t="s">
        <v>792</v>
      </c>
      <c r="C230" s="147" t="s">
        <v>793</v>
      </c>
      <c r="D230" s="181">
        <v>11.9283</v>
      </c>
      <c r="E230" s="185">
        <v>1.1000000000000001</v>
      </c>
    </row>
    <row r="231" spans="1:5" ht="28.5" x14ac:dyDescent="0.3">
      <c r="A231" s="134">
        <v>21593</v>
      </c>
      <c r="B231" s="138" t="s">
        <v>794</v>
      </c>
      <c r="C231" s="147" t="s">
        <v>795</v>
      </c>
      <c r="D231" s="181">
        <v>11.9283</v>
      </c>
      <c r="E231" s="185">
        <v>1.1000000000000001</v>
      </c>
    </row>
    <row r="232" spans="1:5" ht="28.5" x14ac:dyDescent="0.3">
      <c r="A232" s="134">
        <v>22706</v>
      </c>
      <c r="B232" s="138" t="s">
        <v>796</v>
      </c>
      <c r="C232" s="147" t="s">
        <v>797</v>
      </c>
      <c r="D232" s="181">
        <v>19.479266666666664</v>
      </c>
      <c r="E232" s="185">
        <v>1.1000000000000001</v>
      </c>
    </row>
    <row r="233" spans="1:5" ht="16.5" customHeight="1" x14ac:dyDescent="0.3">
      <c r="A233" s="134">
        <v>22709</v>
      </c>
      <c r="B233" s="138" t="s">
        <v>798</v>
      </c>
      <c r="C233" s="147" t="s">
        <v>799</v>
      </c>
      <c r="D233" s="181">
        <v>4.9528999999999996</v>
      </c>
      <c r="E233" s="185">
        <v>1.1000000000000001</v>
      </c>
    </row>
    <row r="234" spans="1:5" x14ac:dyDescent="0.3">
      <c r="A234" s="134">
        <v>21599</v>
      </c>
      <c r="B234" s="138" t="s">
        <v>800</v>
      </c>
      <c r="C234" s="147" t="s">
        <v>801</v>
      </c>
      <c r="D234" s="181">
        <v>16.100000000000001</v>
      </c>
      <c r="E234" s="185">
        <v>1.1000000000000001</v>
      </c>
    </row>
    <row r="235" spans="1:5" ht="28.5" x14ac:dyDescent="0.3">
      <c r="A235" s="134">
        <v>22715</v>
      </c>
      <c r="B235" s="138" t="s">
        <v>802</v>
      </c>
      <c r="C235" s="147" t="s">
        <v>803</v>
      </c>
      <c r="D235" s="181">
        <v>12.5471</v>
      </c>
      <c r="E235" s="185">
        <v>1.1000000000000001</v>
      </c>
    </row>
    <row r="236" spans="1:5" x14ac:dyDescent="0.3">
      <c r="A236" s="134">
        <v>22014</v>
      </c>
      <c r="B236" s="138" t="s">
        <v>804</v>
      </c>
      <c r="C236" s="147" t="s">
        <v>805</v>
      </c>
      <c r="D236" s="181">
        <v>12.2974</v>
      </c>
      <c r="E236" s="185">
        <v>1.1000000000000001</v>
      </c>
    </row>
    <row r="237" spans="1:5" ht="28.5" x14ac:dyDescent="0.3">
      <c r="A237" s="134">
        <v>22718</v>
      </c>
      <c r="B237" s="138" t="s">
        <v>806</v>
      </c>
      <c r="C237" s="147" t="s">
        <v>807</v>
      </c>
      <c r="D237" s="181">
        <v>5.9750459999999999</v>
      </c>
      <c r="E237" s="185">
        <v>1.1000000000000001</v>
      </c>
    </row>
    <row r="238" spans="1:5" ht="28.5" x14ac:dyDescent="0.3">
      <c r="A238" s="134">
        <v>22058</v>
      </c>
      <c r="B238" s="138" t="s">
        <v>808</v>
      </c>
      <c r="C238" s="147" t="s">
        <v>809</v>
      </c>
      <c r="D238" s="181">
        <v>21.81</v>
      </c>
      <c r="E238" s="185">
        <v>1.1000000000000001</v>
      </c>
    </row>
    <row r="239" spans="1:5" ht="28.5" x14ac:dyDescent="0.3">
      <c r="A239" s="134">
        <v>22235</v>
      </c>
      <c r="B239" s="138" t="s">
        <v>810</v>
      </c>
      <c r="C239" s="147" t="s">
        <v>811</v>
      </c>
      <c r="D239" s="181">
        <v>17.556000000000001</v>
      </c>
      <c r="E239" s="185">
        <v>1.1000000000000001</v>
      </c>
    </row>
    <row r="240" spans="1:5" ht="28.5" x14ac:dyDescent="0.3">
      <c r="A240" s="134">
        <v>22712</v>
      </c>
      <c r="B240" s="138" t="s">
        <v>812</v>
      </c>
      <c r="C240" s="147" t="s">
        <v>813</v>
      </c>
      <c r="D240" s="181">
        <v>294.96379999999999</v>
      </c>
      <c r="E240" s="185">
        <v>1.1000000000000001</v>
      </c>
    </row>
    <row r="241" spans="1:5" x14ac:dyDescent="0.3">
      <c r="A241" s="134">
        <v>22085</v>
      </c>
      <c r="B241" s="138" t="s">
        <v>814</v>
      </c>
      <c r="C241" s="147" t="s">
        <v>815</v>
      </c>
      <c r="D241" s="181">
        <v>1.0550954603617386</v>
      </c>
      <c r="E241" s="185">
        <v>1.1000000000000001</v>
      </c>
    </row>
    <row r="242" spans="1:5" x14ac:dyDescent="0.3">
      <c r="A242" s="134">
        <v>22752</v>
      </c>
      <c r="B242" s="138" t="s">
        <v>816</v>
      </c>
      <c r="C242" s="147" t="s">
        <v>817</v>
      </c>
      <c r="D242" s="181">
        <v>12.635909999999999</v>
      </c>
      <c r="E242" s="185">
        <v>1.1000000000000001</v>
      </c>
    </row>
    <row r="243" spans="1:5" x14ac:dyDescent="0.3">
      <c r="A243" s="134">
        <v>22768</v>
      </c>
      <c r="B243" s="138" t="s">
        <v>818</v>
      </c>
      <c r="C243" s="147" t="s">
        <v>819</v>
      </c>
      <c r="D243" s="181">
        <v>1.377894</v>
      </c>
      <c r="E243" s="185">
        <v>1.1000000000000001</v>
      </c>
    </row>
    <row r="244" spans="1:5" x14ac:dyDescent="0.3">
      <c r="A244" s="134">
        <v>22778</v>
      </c>
      <c r="B244" s="138" t="s">
        <v>820</v>
      </c>
      <c r="C244" s="147" t="s">
        <v>821</v>
      </c>
      <c r="D244" s="181">
        <v>15.15948</v>
      </c>
      <c r="E244" s="185">
        <v>1.1000000000000001</v>
      </c>
    </row>
    <row r="245" spans="1:5" x14ac:dyDescent="0.3">
      <c r="A245" s="134">
        <v>22783</v>
      </c>
      <c r="B245" s="138" t="s">
        <v>822</v>
      </c>
      <c r="C245" s="147" t="s">
        <v>823</v>
      </c>
      <c r="D245" s="181">
        <v>9.9800400000000007</v>
      </c>
      <c r="E245" s="185">
        <v>1.1000000000000001</v>
      </c>
    </row>
    <row r="246" spans="1:5" x14ac:dyDescent="0.3">
      <c r="A246" s="134">
        <v>22793</v>
      </c>
      <c r="B246" s="138" t="s">
        <v>824</v>
      </c>
      <c r="C246" s="147" t="s">
        <v>825</v>
      </c>
      <c r="D246" s="181">
        <v>1.2068909999999999</v>
      </c>
      <c r="E246" s="185">
        <v>0.35</v>
      </c>
    </row>
    <row r="247" spans="1:5" x14ac:dyDescent="0.3">
      <c r="A247" s="134">
        <v>22795</v>
      </c>
      <c r="B247" s="138" t="s">
        <v>826</v>
      </c>
      <c r="C247" s="147" t="s">
        <v>827</v>
      </c>
      <c r="D247" s="181">
        <v>23.008199999999999</v>
      </c>
      <c r="E247" s="185">
        <v>1.1000000000000001</v>
      </c>
    </row>
    <row r="248" spans="1:5" x14ac:dyDescent="0.3">
      <c r="A248" s="134"/>
      <c r="B248" s="138"/>
      <c r="C248" s="144" t="s">
        <v>828</v>
      </c>
      <c r="D248" s="181"/>
      <c r="E248" s="185"/>
    </row>
    <row r="249" spans="1:5" x14ac:dyDescent="0.3">
      <c r="A249" s="134"/>
      <c r="B249" s="138"/>
      <c r="C249" s="144" t="s">
        <v>829</v>
      </c>
      <c r="D249" s="181"/>
      <c r="E249" s="185"/>
    </row>
    <row r="250" spans="1:5" x14ac:dyDescent="0.3">
      <c r="A250" s="134">
        <v>22823</v>
      </c>
      <c r="B250" s="138" t="s">
        <v>830</v>
      </c>
      <c r="C250" s="147" t="s">
        <v>831</v>
      </c>
      <c r="D250" s="181">
        <v>14.97048</v>
      </c>
      <c r="E250" s="185">
        <v>1.1000000000000001</v>
      </c>
    </row>
    <row r="251" spans="1:5" x14ac:dyDescent="0.3">
      <c r="A251" s="134">
        <v>22836</v>
      </c>
      <c r="B251" s="138" t="s">
        <v>832</v>
      </c>
      <c r="C251" s="147" t="s">
        <v>833</v>
      </c>
      <c r="D251" s="181">
        <v>11.539709999999999</v>
      </c>
      <c r="E251" s="185">
        <v>1.1000000000000001</v>
      </c>
    </row>
    <row r="252" spans="1:5" x14ac:dyDescent="0.3">
      <c r="A252" s="134">
        <v>22839</v>
      </c>
      <c r="B252" s="138" t="s">
        <v>834</v>
      </c>
      <c r="C252" s="147" t="s">
        <v>835</v>
      </c>
      <c r="D252" s="181">
        <v>9.3573000000000004</v>
      </c>
      <c r="E252" s="185">
        <v>1.1000000000000001</v>
      </c>
    </row>
    <row r="253" spans="1:5" x14ac:dyDescent="0.3">
      <c r="A253" s="134">
        <v>22854</v>
      </c>
      <c r="B253" s="138" t="s">
        <v>836</v>
      </c>
      <c r="C253" s="147" t="s">
        <v>837</v>
      </c>
      <c r="D253" s="181">
        <v>12.12561</v>
      </c>
      <c r="E253" s="185">
        <v>1.1000000000000001</v>
      </c>
    </row>
    <row r="254" spans="1:5" x14ac:dyDescent="0.3">
      <c r="A254" s="134"/>
      <c r="B254" s="138"/>
      <c r="C254" s="148" t="s">
        <v>838</v>
      </c>
      <c r="D254" s="181"/>
      <c r="E254" s="185"/>
    </row>
    <row r="255" spans="1:5" x14ac:dyDescent="0.3">
      <c r="A255" s="134">
        <v>22879</v>
      </c>
      <c r="B255" s="138" t="s">
        <v>839</v>
      </c>
      <c r="C255" s="147" t="s">
        <v>840</v>
      </c>
      <c r="D255" s="181">
        <v>25.6265</v>
      </c>
      <c r="E255" s="185">
        <v>1.1000000000000001</v>
      </c>
    </row>
    <row r="256" spans="1:5" x14ac:dyDescent="0.3">
      <c r="A256" s="134">
        <v>22897</v>
      </c>
      <c r="B256" s="138" t="s">
        <v>841</v>
      </c>
      <c r="C256" s="147" t="s">
        <v>842</v>
      </c>
      <c r="D256" s="181">
        <v>6.8633459999999999</v>
      </c>
      <c r="E256" s="185">
        <v>1.1000000000000001</v>
      </c>
    </row>
    <row r="257" spans="1:5" x14ac:dyDescent="0.3">
      <c r="A257" s="134">
        <v>22900</v>
      </c>
      <c r="B257" s="138" t="s">
        <v>843</v>
      </c>
      <c r="C257" s="147" t="s">
        <v>844</v>
      </c>
      <c r="D257" s="181">
        <v>6.6176459999999997</v>
      </c>
      <c r="E257" s="185">
        <v>1.1000000000000001</v>
      </c>
    </row>
    <row r="258" spans="1:5" x14ac:dyDescent="0.3">
      <c r="A258" s="134">
        <v>22907</v>
      </c>
      <c r="B258" s="138" t="s">
        <v>845</v>
      </c>
      <c r="C258" s="147" t="s">
        <v>846</v>
      </c>
      <c r="D258" s="181">
        <v>4.5440639999999997</v>
      </c>
      <c r="E258" s="185">
        <v>1.1000000000000001</v>
      </c>
    </row>
    <row r="259" spans="1:5" x14ac:dyDescent="0.3">
      <c r="A259" s="134">
        <v>22920</v>
      </c>
      <c r="B259" s="138" t="s">
        <v>847</v>
      </c>
      <c r="C259" s="147" t="s">
        <v>848</v>
      </c>
      <c r="D259" s="181">
        <v>2.281482</v>
      </c>
      <c r="E259" s="185">
        <v>0.35</v>
      </c>
    </row>
    <row r="260" spans="1:5" x14ac:dyDescent="0.3">
      <c r="A260" s="134">
        <v>22925</v>
      </c>
      <c r="B260" s="138" t="s">
        <v>849</v>
      </c>
      <c r="C260" s="147" t="s">
        <v>850</v>
      </c>
      <c r="D260" s="181">
        <v>6.8633459999999999</v>
      </c>
      <c r="E260" s="185">
        <v>1.1000000000000001</v>
      </c>
    </row>
    <row r="261" spans="1:5" x14ac:dyDescent="0.3">
      <c r="A261" s="134">
        <v>22928</v>
      </c>
      <c r="B261" s="138" t="s">
        <v>851</v>
      </c>
      <c r="C261" s="147" t="s">
        <v>852</v>
      </c>
      <c r="D261" s="181">
        <v>6.6176459999999997</v>
      </c>
      <c r="E261" s="185">
        <v>1.1000000000000001</v>
      </c>
    </row>
    <row r="262" spans="1:5" x14ac:dyDescent="0.3">
      <c r="A262" s="134">
        <v>22949</v>
      </c>
      <c r="B262" s="138" t="s">
        <v>853</v>
      </c>
      <c r="C262" s="147" t="s">
        <v>854</v>
      </c>
      <c r="D262" s="181">
        <v>0.886494</v>
      </c>
      <c r="E262" s="185">
        <v>0.4</v>
      </c>
    </row>
    <row r="263" spans="1:5" x14ac:dyDescent="0.3">
      <c r="A263" s="134">
        <v>22957</v>
      </c>
      <c r="B263" s="138" t="s">
        <v>855</v>
      </c>
      <c r="C263" s="147" t="s">
        <v>856</v>
      </c>
      <c r="D263" s="181">
        <v>1.169994</v>
      </c>
      <c r="E263" s="185">
        <v>0.7</v>
      </c>
    </row>
    <row r="264" spans="1:5" ht="28.5" x14ac:dyDescent="0.3">
      <c r="A264" s="134">
        <v>22960</v>
      </c>
      <c r="B264" s="138" t="s">
        <v>857</v>
      </c>
      <c r="C264" s="147" t="s">
        <v>858</v>
      </c>
      <c r="D264" s="181">
        <v>2.174089803211587</v>
      </c>
      <c r="E264" s="185">
        <v>0.8</v>
      </c>
    </row>
    <row r="265" spans="1:5" x14ac:dyDescent="0.3">
      <c r="A265" s="134">
        <v>22954</v>
      </c>
      <c r="B265" s="138" t="s">
        <v>859</v>
      </c>
      <c r="C265" s="147" t="s">
        <v>281</v>
      </c>
      <c r="D265" s="181">
        <v>1.2529734000000001</v>
      </c>
      <c r="E265" s="185">
        <v>0.7</v>
      </c>
    </row>
    <row r="266" spans="1:5" x14ac:dyDescent="0.3">
      <c r="A266" s="134">
        <v>22968</v>
      </c>
      <c r="B266" s="138" t="s">
        <v>860</v>
      </c>
      <c r="C266" s="147" t="s">
        <v>861</v>
      </c>
      <c r="D266" s="181">
        <v>0.80189549999999998</v>
      </c>
      <c r="E266" s="185">
        <v>0.35</v>
      </c>
    </row>
    <row r="267" spans="1:5" x14ac:dyDescent="0.3">
      <c r="A267" s="134">
        <v>22973</v>
      </c>
      <c r="B267" s="138" t="s">
        <v>862</v>
      </c>
      <c r="C267" s="147" t="s">
        <v>863</v>
      </c>
      <c r="D267" s="181">
        <v>0.80189549999999998</v>
      </c>
      <c r="E267" s="185">
        <v>0.35</v>
      </c>
    </row>
    <row r="268" spans="1:5" ht="28.5" x14ac:dyDescent="0.3">
      <c r="A268" s="134"/>
      <c r="B268" s="138"/>
      <c r="C268" s="136" t="s">
        <v>864</v>
      </c>
      <c r="D268" s="181"/>
      <c r="E268" s="185"/>
    </row>
    <row r="269" spans="1:5" ht="28.5" x14ac:dyDescent="0.3">
      <c r="A269" s="134"/>
      <c r="B269" s="138"/>
      <c r="C269" s="136" t="s">
        <v>865</v>
      </c>
      <c r="D269" s="181"/>
      <c r="E269" s="185"/>
    </row>
    <row r="270" spans="1:5" x14ac:dyDescent="0.3">
      <c r="A270" s="134"/>
      <c r="B270" s="138"/>
      <c r="C270" s="136" t="s">
        <v>866</v>
      </c>
      <c r="D270" s="181"/>
      <c r="E270" s="185"/>
    </row>
    <row r="271" spans="1:5" x14ac:dyDescent="0.3">
      <c r="A271" s="134">
        <v>22991</v>
      </c>
      <c r="B271" s="138" t="s">
        <v>867</v>
      </c>
      <c r="C271" s="147" t="s">
        <v>868</v>
      </c>
      <c r="D271" s="181">
        <v>9.8585760000000011</v>
      </c>
      <c r="E271" s="185">
        <v>1.1000000000000001</v>
      </c>
    </row>
    <row r="272" spans="1:5" x14ac:dyDescent="0.3">
      <c r="A272" s="134">
        <v>21458</v>
      </c>
      <c r="B272" s="138" t="s">
        <v>869</v>
      </c>
      <c r="C272" s="147" t="s">
        <v>870</v>
      </c>
      <c r="D272" s="181">
        <v>14.365680000000001</v>
      </c>
      <c r="E272" s="185">
        <v>1.1000000000000001</v>
      </c>
    </row>
    <row r="273" spans="1:5" x14ac:dyDescent="0.3">
      <c r="A273" s="134">
        <v>21053</v>
      </c>
      <c r="B273" s="138" t="s">
        <v>871</v>
      </c>
      <c r="C273" s="147" t="s">
        <v>872</v>
      </c>
      <c r="D273" s="181">
        <v>9.2177819999999997</v>
      </c>
      <c r="E273" s="185">
        <v>1.1000000000000001</v>
      </c>
    </row>
    <row r="274" spans="1:5" x14ac:dyDescent="0.3">
      <c r="A274" s="134"/>
      <c r="B274" s="138"/>
      <c r="C274" s="149"/>
      <c r="D274" s="181"/>
      <c r="E274" s="185"/>
    </row>
    <row r="275" spans="1:5" x14ac:dyDescent="0.3">
      <c r="A275" s="134"/>
      <c r="B275" s="138"/>
      <c r="C275" s="150" t="s">
        <v>873</v>
      </c>
      <c r="D275" s="181"/>
      <c r="E275" s="185"/>
    </row>
    <row r="276" spans="1:5" ht="28.5" x14ac:dyDescent="0.3">
      <c r="A276" s="134">
        <v>20020</v>
      </c>
      <c r="B276" s="138" t="s">
        <v>874</v>
      </c>
      <c r="C276" s="147" t="s">
        <v>875</v>
      </c>
      <c r="D276" s="181">
        <v>28.342649999999999</v>
      </c>
      <c r="E276" s="185">
        <v>1.1000000000000001</v>
      </c>
    </row>
    <row r="277" spans="1:5" x14ac:dyDescent="0.3">
      <c r="A277" s="134">
        <v>20040</v>
      </c>
      <c r="B277" s="138" t="s">
        <v>876</v>
      </c>
      <c r="C277" s="147" t="s">
        <v>877</v>
      </c>
      <c r="D277" s="181">
        <v>19.100549999999998</v>
      </c>
      <c r="E277" s="185">
        <v>1.1000000000000001</v>
      </c>
    </row>
    <row r="278" spans="1:5" x14ac:dyDescent="0.3">
      <c r="A278" s="134">
        <v>20045</v>
      </c>
      <c r="B278" s="138" t="s">
        <v>878</v>
      </c>
      <c r="C278" s="147" t="s">
        <v>879</v>
      </c>
      <c r="D278" s="181">
        <v>19.421849999999999</v>
      </c>
      <c r="E278" s="185">
        <v>1.1000000000000001</v>
      </c>
    </row>
    <row r="279" spans="1:5" x14ac:dyDescent="0.3">
      <c r="A279" s="134">
        <v>20070</v>
      </c>
      <c r="B279" s="138" t="s">
        <v>880</v>
      </c>
      <c r="C279" s="147" t="s">
        <v>881</v>
      </c>
      <c r="D279" s="181">
        <v>22.464750000000002</v>
      </c>
      <c r="E279" s="185">
        <v>1.1000000000000001</v>
      </c>
    </row>
    <row r="280" spans="1:5" x14ac:dyDescent="0.3">
      <c r="A280" s="134">
        <v>20080</v>
      </c>
      <c r="B280" s="138" t="s">
        <v>882</v>
      </c>
      <c r="C280" s="147" t="s">
        <v>883</v>
      </c>
      <c r="D280" s="181">
        <v>18.83595</v>
      </c>
      <c r="E280" s="185">
        <v>1.1000000000000001</v>
      </c>
    </row>
    <row r="281" spans="1:5" x14ac:dyDescent="0.3">
      <c r="A281" s="134">
        <v>20085</v>
      </c>
      <c r="B281" s="138" t="s">
        <v>884</v>
      </c>
      <c r="C281" s="147" t="s">
        <v>885</v>
      </c>
      <c r="D281" s="181">
        <v>18.873750000000001</v>
      </c>
      <c r="E281" s="185">
        <v>1.1000000000000001</v>
      </c>
    </row>
    <row r="282" spans="1:5" x14ac:dyDescent="0.3">
      <c r="A282" s="134">
        <v>20295</v>
      </c>
      <c r="B282" s="138" t="s">
        <v>886</v>
      </c>
      <c r="C282" s="147" t="s">
        <v>887</v>
      </c>
      <c r="D282" s="181">
        <v>22.274909999999998</v>
      </c>
      <c r="E282" s="185">
        <v>1.1000000000000001</v>
      </c>
    </row>
    <row r="283" spans="1:5" ht="42.75" x14ac:dyDescent="0.3">
      <c r="A283" s="134">
        <v>20338</v>
      </c>
      <c r="B283" s="138" t="s">
        <v>888</v>
      </c>
      <c r="C283" s="147" t="s">
        <v>889</v>
      </c>
      <c r="D283" s="181">
        <v>6.1127639999999994</v>
      </c>
      <c r="E283" s="185">
        <v>1.1000000000000001</v>
      </c>
    </row>
    <row r="284" spans="1:5" ht="14.25" customHeight="1" x14ac:dyDescent="0.3">
      <c r="A284" s="134"/>
      <c r="B284" s="138"/>
      <c r="C284" s="144" t="s">
        <v>890</v>
      </c>
      <c r="D284" s="181"/>
      <c r="E284" s="185"/>
    </row>
    <row r="285" spans="1:5" x14ac:dyDescent="0.3">
      <c r="A285" s="134">
        <v>20358</v>
      </c>
      <c r="B285" s="138" t="s">
        <v>891</v>
      </c>
      <c r="C285" s="147" t="s">
        <v>892</v>
      </c>
      <c r="D285" s="181">
        <v>5.1758594999999996</v>
      </c>
      <c r="E285" s="185">
        <v>1.1000000000000001</v>
      </c>
    </row>
    <row r="286" spans="1:5" x14ac:dyDescent="0.3">
      <c r="A286" s="134">
        <v>20360</v>
      </c>
      <c r="B286" s="138" t="s">
        <v>893</v>
      </c>
      <c r="C286" s="147" t="s">
        <v>894</v>
      </c>
      <c r="D286" s="181">
        <v>9.0539400000000008</v>
      </c>
      <c r="E286" s="185">
        <v>1.1000000000000001</v>
      </c>
    </row>
    <row r="287" spans="1:5" x14ac:dyDescent="0.3">
      <c r="A287" s="135"/>
      <c r="B287" s="170"/>
      <c r="C287" s="151" t="s">
        <v>292</v>
      </c>
      <c r="D287" s="182"/>
      <c r="E287" s="186"/>
    </row>
    <row r="288" spans="1:5" x14ac:dyDescent="0.3">
      <c r="A288" s="134">
        <v>24005</v>
      </c>
      <c r="B288" s="138" t="s">
        <v>895</v>
      </c>
      <c r="C288" s="136" t="s">
        <v>896</v>
      </c>
      <c r="D288" s="181">
        <v>10.291699999999999</v>
      </c>
      <c r="E288" s="185">
        <v>1.1000000000000001</v>
      </c>
    </row>
    <row r="289" spans="1:5" x14ac:dyDescent="0.3">
      <c r="A289" s="134">
        <v>24022</v>
      </c>
      <c r="B289" s="138" t="s">
        <v>897</v>
      </c>
      <c r="C289" s="136" t="s">
        <v>898</v>
      </c>
      <c r="D289" s="181">
        <v>9.6110699999999998</v>
      </c>
      <c r="E289" s="185">
        <v>1.1000000000000001</v>
      </c>
    </row>
    <row r="290" spans="1:5" x14ac:dyDescent="0.3">
      <c r="A290" s="134">
        <v>24035</v>
      </c>
      <c r="B290" s="138" t="s">
        <v>899</v>
      </c>
      <c r="C290" s="136" t="s">
        <v>900</v>
      </c>
      <c r="D290" s="181">
        <v>38.510010000000001</v>
      </c>
      <c r="E290" s="185">
        <v>1.1000000000000001</v>
      </c>
    </row>
    <row r="291" spans="1:5" x14ac:dyDescent="0.3">
      <c r="A291" s="134">
        <v>24030</v>
      </c>
      <c r="B291" s="138" t="s">
        <v>901</v>
      </c>
      <c r="C291" s="136" t="s">
        <v>902</v>
      </c>
      <c r="D291" s="181">
        <v>2.057391</v>
      </c>
      <c r="E291" s="185">
        <v>1.1000000000000001</v>
      </c>
    </row>
    <row r="292" spans="1:5" ht="14.25" customHeight="1" x14ac:dyDescent="0.3">
      <c r="A292" s="134">
        <v>24337</v>
      </c>
      <c r="B292" s="138" t="s">
        <v>903</v>
      </c>
      <c r="C292" s="136" t="s">
        <v>904</v>
      </c>
      <c r="D292" s="181">
        <v>9.3093999999999983</v>
      </c>
      <c r="E292" s="185">
        <v>1.1000000000000001</v>
      </c>
    </row>
    <row r="293" spans="1:5" ht="28.5" x14ac:dyDescent="0.3">
      <c r="A293" s="134">
        <v>24340</v>
      </c>
      <c r="B293" s="138" t="s">
        <v>905</v>
      </c>
      <c r="C293" s="136" t="s">
        <v>906</v>
      </c>
      <c r="D293" s="181">
        <v>8.1179699999999997</v>
      </c>
      <c r="E293" s="185">
        <v>1.1000000000000001</v>
      </c>
    </row>
    <row r="294" spans="1:5" ht="28.5" x14ac:dyDescent="0.3">
      <c r="A294" s="134">
        <v>24338</v>
      </c>
      <c r="B294" s="138" t="s">
        <v>907</v>
      </c>
      <c r="C294" s="136" t="s">
        <v>908</v>
      </c>
      <c r="D294" s="181">
        <v>8.3643999999999998</v>
      </c>
      <c r="E294" s="185">
        <v>1.1000000000000001</v>
      </c>
    </row>
    <row r="295" spans="1:5" x14ac:dyDescent="0.3">
      <c r="A295" s="134">
        <v>24339</v>
      </c>
      <c r="B295" s="138" t="s">
        <v>909</v>
      </c>
      <c r="C295" s="136" t="s">
        <v>910</v>
      </c>
      <c r="D295" s="181">
        <v>8.8369</v>
      </c>
      <c r="E295" s="185">
        <v>1.1000000000000001</v>
      </c>
    </row>
    <row r="296" spans="1:5" x14ac:dyDescent="0.3">
      <c r="A296" s="134">
        <v>24041</v>
      </c>
      <c r="B296" s="138" t="s">
        <v>911</v>
      </c>
      <c r="C296" s="136" t="s">
        <v>912</v>
      </c>
      <c r="D296" s="181">
        <v>3.3038879999999997</v>
      </c>
      <c r="E296" s="185">
        <v>1.1000000000000001</v>
      </c>
    </row>
    <row r="297" spans="1:5" ht="28.5" x14ac:dyDescent="0.3">
      <c r="A297" s="134">
        <v>24134</v>
      </c>
      <c r="B297" s="138" t="s">
        <v>913</v>
      </c>
      <c r="C297" s="136" t="s">
        <v>914</v>
      </c>
      <c r="D297" s="181">
        <v>8.0998000000000001</v>
      </c>
      <c r="E297" s="185">
        <v>1.1000000000000001</v>
      </c>
    </row>
    <row r="298" spans="1:5" x14ac:dyDescent="0.3">
      <c r="A298" s="134">
        <v>24045</v>
      </c>
      <c r="B298" s="138" t="s">
        <v>915</v>
      </c>
      <c r="C298" s="136" t="s">
        <v>916</v>
      </c>
      <c r="D298" s="181">
        <v>8.043099999999999</v>
      </c>
      <c r="E298" s="185">
        <v>1.1000000000000001</v>
      </c>
    </row>
    <row r="299" spans="1:5" x14ac:dyDescent="0.3">
      <c r="A299" s="134">
        <v>24044</v>
      </c>
      <c r="B299" s="138" t="s">
        <v>917</v>
      </c>
      <c r="C299" s="136" t="s">
        <v>918</v>
      </c>
      <c r="D299" s="181">
        <v>7.6832700000000003</v>
      </c>
      <c r="E299" s="185">
        <v>1.1000000000000001</v>
      </c>
    </row>
    <row r="300" spans="1:5" x14ac:dyDescent="0.3">
      <c r="A300" s="134">
        <v>24050</v>
      </c>
      <c r="B300" s="138" t="s">
        <v>919</v>
      </c>
      <c r="C300" s="136" t="s">
        <v>920</v>
      </c>
      <c r="D300" s="181">
        <v>8.9684699999999999</v>
      </c>
      <c r="E300" s="185">
        <v>1.1000000000000001</v>
      </c>
    </row>
    <row r="301" spans="1:5" x14ac:dyDescent="0.3">
      <c r="A301" s="134">
        <v>24047</v>
      </c>
      <c r="B301" s="138" t="s">
        <v>921</v>
      </c>
      <c r="C301" s="136" t="s">
        <v>922</v>
      </c>
      <c r="D301" s="181">
        <v>6.2090700000000005</v>
      </c>
      <c r="E301" s="185">
        <v>1.1000000000000001</v>
      </c>
    </row>
    <row r="302" spans="1:5" x14ac:dyDescent="0.3">
      <c r="A302" s="134">
        <v>24053</v>
      </c>
      <c r="B302" s="138" t="s">
        <v>923</v>
      </c>
      <c r="C302" s="136" t="s">
        <v>924</v>
      </c>
      <c r="D302" s="181">
        <v>6.7760699999999998</v>
      </c>
      <c r="E302" s="185">
        <v>1.1000000000000001</v>
      </c>
    </row>
    <row r="303" spans="1:5" ht="28.5" x14ac:dyDescent="0.3">
      <c r="A303" s="134"/>
      <c r="B303" s="138"/>
      <c r="C303" s="136" t="s">
        <v>925</v>
      </c>
      <c r="D303" s="181"/>
      <c r="E303" s="185"/>
    </row>
    <row r="304" spans="1:5" x14ac:dyDescent="0.3">
      <c r="A304" s="134">
        <v>24063</v>
      </c>
      <c r="B304" s="138" t="s">
        <v>926</v>
      </c>
      <c r="C304" s="136" t="s">
        <v>927</v>
      </c>
      <c r="D304" s="181">
        <v>2.4731909999999999</v>
      </c>
      <c r="E304" s="185">
        <v>1.1000000000000001</v>
      </c>
    </row>
    <row r="305" spans="1:5" ht="28.5" x14ac:dyDescent="0.3">
      <c r="A305" s="134">
        <v>24197</v>
      </c>
      <c r="B305" s="138" t="s">
        <v>928</v>
      </c>
      <c r="C305" s="136" t="s">
        <v>929</v>
      </c>
      <c r="D305" s="181">
        <v>8.5292549999999991</v>
      </c>
      <c r="E305" s="185">
        <v>1.1000000000000001</v>
      </c>
    </row>
    <row r="306" spans="1:5" x14ac:dyDescent="0.3">
      <c r="A306" s="134">
        <v>24064</v>
      </c>
      <c r="B306" s="138" t="s">
        <v>930</v>
      </c>
      <c r="C306" s="136" t="s">
        <v>931</v>
      </c>
      <c r="D306" s="181">
        <v>25.254726000000002</v>
      </c>
      <c r="E306" s="185">
        <v>1.1000000000000001</v>
      </c>
    </row>
    <row r="307" spans="1:5" ht="28.5" x14ac:dyDescent="0.3">
      <c r="A307" s="134"/>
      <c r="B307" s="138"/>
      <c r="C307" s="136" t="s">
        <v>932</v>
      </c>
      <c r="D307" s="181"/>
      <c r="E307" s="185"/>
    </row>
    <row r="308" spans="1:5" x14ac:dyDescent="0.3">
      <c r="A308" s="134">
        <v>24505</v>
      </c>
      <c r="B308" s="138" t="s">
        <v>933</v>
      </c>
      <c r="C308" s="136" t="s">
        <v>934</v>
      </c>
      <c r="D308" s="181">
        <v>9.7813999999999997</v>
      </c>
      <c r="E308" s="185">
        <v>1.1000000000000001</v>
      </c>
    </row>
    <row r="309" spans="1:5" ht="14.25" customHeight="1" x14ac:dyDescent="0.3">
      <c r="A309" s="134">
        <v>24078</v>
      </c>
      <c r="B309" s="138" t="s">
        <v>935</v>
      </c>
      <c r="C309" s="136" t="s">
        <v>936</v>
      </c>
      <c r="D309" s="181">
        <v>2.851191</v>
      </c>
      <c r="E309" s="185">
        <v>1.1000000000000001</v>
      </c>
    </row>
    <row r="310" spans="1:5" x14ac:dyDescent="0.3">
      <c r="A310" s="134">
        <v>24145</v>
      </c>
      <c r="B310" s="138" t="s">
        <v>937</v>
      </c>
      <c r="C310" s="136" t="s">
        <v>938</v>
      </c>
      <c r="D310" s="181">
        <v>7.4204759999999998</v>
      </c>
      <c r="E310" s="185">
        <v>1.1000000000000001</v>
      </c>
    </row>
    <row r="311" spans="1:5" x14ac:dyDescent="0.3">
      <c r="A311" s="134">
        <v>24142</v>
      </c>
      <c r="B311" s="138" t="s">
        <v>939</v>
      </c>
      <c r="C311" s="136" t="s">
        <v>940</v>
      </c>
      <c r="D311" s="181">
        <v>6.3026999999999997</v>
      </c>
      <c r="E311" s="185">
        <v>1.1000000000000001</v>
      </c>
    </row>
    <row r="312" spans="1:5" ht="28.5" x14ac:dyDescent="0.3">
      <c r="A312" s="134">
        <v>24163</v>
      </c>
      <c r="B312" s="138" t="s">
        <v>941</v>
      </c>
      <c r="C312" s="136" t="s">
        <v>942</v>
      </c>
      <c r="D312" s="181">
        <v>14.706499999999998</v>
      </c>
      <c r="E312" s="185">
        <v>1.1000000000000001</v>
      </c>
    </row>
    <row r="313" spans="1:5" ht="28.5" x14ac:dyDescent="0.3">
      <c r="A313" s="134">
        <v>24160</v>
      </c>
      <c r="B313" s="138" t="s">
        <v>943</v>
      </c>
      <c r="C313" s="136" t="s">
        <v>944</v>
      </c>
      <c r="D313" s="181">
        <v>4.4672809999999998</v>
      </c>
      <c r="E313" s="185">
        <v>1.1000000000000001</v>
      </c>
    </row>
    <row r="314" spans="1:5" x14ac:dyDescent="0.3">
      <c r="A314" s="134">
        <v>24385</v>
      </c>
      <c r="B314" s="138" t="s">
        <v>945</v>
      </c>
      <c r="C314" s="136" t="s">
        <v>946</v>
      </c>
      <c r="D314" s="181">
        <v>7.4168640000000003</v>
      </c>
      <c r="E314" s="185">
        <v>1.1000000000000001</v>
      </c>
    </row>
    <row r="315" spans="1:5" x14ac:dyDescent="0.3">
      <c r="A315" s="134">
        <v>24184</v>
      </c>
      <c r="B315" s="138" t="s">
        <v>947</v>
      </c>
      <c r="C315" s="136" t="s">
        <v>948</v>
      </c>
      <c r="D315" s="181">
        <v>8.6948399999999992</v>
      </c>
      <c r="E315" s="185">
        <v>1.1000000000000001</v>
      </c>
    </row>
    <row r="316" spans="1:5" ht="28.5" x14ac:dyDescent="0.3">
      <c r="A316" s="134"/>
      <c r="B316" s="138"/>
      <c r="C316" s="136" t="s">
        <v>949</v>
      </c>
      <c r="D316" s="181"/>
      <c r="E316" s="185"/>
    </row>
    <row r="317" spans="1:5" ht="14.25" customHeight="1" x14ac:dyDescent="0.3">
      <c r="A317" s="134">
        <v>24187</v>
      </c>
      <c r="B317" s="138" t="s">
        <v>950</v>
      </c>
      <c r="C317" s="136" t="s">
        <v>951</v>
      </c>
      <c r="D317" s="181">
        <v>7.6481790000000007</v>
      </c>
      <c r="E317" s="185">
        <v>1.1000000000000001</v>
      </c>
    </row>
    <row r="318" spans="1:5" x14ac:dyDescent="0.3">
      <c r="A318" s="134">
        <v>24200</v>
      </c>
      <c r="B318" s="138" t="s">
        <v>952</v>
      </c>
      <c r="C318" s="136" t="s">
        <v>953</v>
      </c>
      <c r="D318" s="181">
        <v>4.5665759999999995</v>
      </c>
      <c r="E318" s="185">
        <v>1.1000000000000001</v>
      </c>
    </row>
    <row r="319" spans="1:5" x14ac:dyDescent="0.3">
      <c r="A319" s="134">
        <v>24196</v>
      </c>
      <c r="B319" s="138" t="s">
        <v>954</v>
      </c>
      <c r="C319" s="136" t="s">
        <v>955</v>
      </c>
      <c r="D319" s="181">
        <v>3.0802</v>
      </c>
      <c r="E319" s="185">
        <v>1.1000000000000001</v>
      </c>
    </row>
    <row r="320" spans="1:5" x14ac:dyDescent="0.3">
      <c r="A320" s="134">
        <v>24390</v>
      </c>
      <c r="B320" s="138" t="s">
        <v>956</v>
      </c>
      <c r="C320" s="136" t="s">
        <v>957</v>
      </c>
      <c r="D320" s="181">
        <v>7.9199400000000004</v>
      </c>
      <c r="E320" s="185">
        <v>1.1000000000000001</v>
      </c>
    </row>
    <row r="321" spans="1:5" x14ac:dyDescent="0.3">
      <c r="A321" s="134">
        <v>24504</v>
      </c>
      <c r="B321" s="138" t="s">
        <v>958</v>
      </c>
      <c r="C321" s="136" t="s">
        <v>959</v>
      </c>
      <c r="D321" s="181">
        <v>5.5907879999999999</v>
      </c>
      <c r="E321" s="185">
        <v>1.1000000000000001</v>
      </c>
    </row>
    <row r="322" spans="1:5" ht="28.5" x14ac:dyDescent="0.3">
      <c r="A322" s="134">
        <v>24503</v>
      </c>
      <c r="B322" s="138" t="s">
        <v>960</v>
      </c>
      <c r="C322" s="136" t="s">
        <v>961</v>
      </c>
      <c r="D322" s="181">
        <v>11.189640000000001</v>
      </c>
      <c r="E322" s="185">
        <v>1.1000000000000001</v>
      </c>
    </row>
    <row r="323" spans="1:5" ht="15.75" customHeight="1" x14ac:dyDescent="0.3">
      <c r="A323" s="134">
        <v>24502</v>
      </c>
      <c r="B323" s="138" t="s">
        <v>962</v>
      </c>
      <c r="C323" s="136" t="s">
        <v>963</v>
      </c>
      <c r="D323" s="181">
        <v>10.15014</v>
      </c>
      <c r="E323" s="185">
        <v>1.1000000000000001</v>
      </c>
    </row>
    <row r="324" spans="1:5" x14ac:dyDescent="0.3">
      <c r="A324" s="134">
        <v>24193</v>
      </c>
      <c r="B324" s="138" t="s">
        <v>964</v>
      </c>
      <c r="C324" s="136" t="s">
        <v>965</v>
      </c>
      <c r="D324" s="181">
        <v>2.8723000000000001</v>
      </c>
      <c r="E324" s="185">
        <v>1.1000000000000001</v>
      </c>
    </row>
    <row r="325" spans="1:5" ht="28.5" customHeight="1" x14ac:dyDescent="0.3">
      <c r="A325" s="134">
        <v>24209</v>
      </c>
      <c r="B325" s="138" t="s">
        <v>966</v>
      </c>
      <c r="C325" s="136" t="s">
        <v>967</v>
      </c>
      <c r="D325" s="181">
        <v>5.3747610000000003</v>
      </c>
      <c r="E325" s="185">
        <v>1.1000000000000001</v>
      </c>
    </row>
    <row r="326" spans="1:5" x14ac:dyDescent="0.3">
      <c r="A326" s="134"/>
      <c r="B326" s="138"/>
      <c r="C326" s="136" t="s">
        <v>968</v>
      </c>
      <c r="D326" s="181"/>
      <c r="E326" s="185"/>
    </row>
    <row r="327" spans="1:5" ht="28.5" x14ac:dyDescent="0.3">
      <c r="A327" s="134">
        <v>24208</v>
      </c>
      <c r="B327" s="138" t="s">
        <v>969</v>
      </c>
      <c r="C327" s="136" t="s">
        <v>970</v>
      </c>
      <c r="D327" s="181">
        <v>2.9798789999999999</v>
      </c>
      <c r="E327" s="185">
        <v>1.1000000000000001</v>
      </c>
    </row>
    <row r="328" spans="1:5" ht="28.5" x14ac:dyDescent="0.3">
      <c r="A328" s="134"/>
      <c r="B328" s="138"/>
      <c r="C328" s="136" t="s">
        <v>971</v>
      </c>
      <c r="D328" s="181"/>
      <c r="E328" s="185"/>
    </row>
    <row r="329" spans="1:5" ht="25.5" customHeight="1" x14ac:dyDescent="0.3">
      <c r="A329" s="134">
        <v>24400</v>
      </c>
      <c r="B329" s="138" t="s">
        <v>972</v>
      </c>
      <c r="C329" s="136" t="s">
        <v>973</v>
      </c>
      <c r="D329" s="181">
        <v>13.462091999999998</v>
      </c>
      <c r="E329" s="185">
        <v>1.1000000000000001</v>
      </c>
    </row>
    <row r="330" spans="1:5" x14ac:dyDescent="0.3">
      <c r="A330" s="134">
        <v>24237</v>
      </c>
      <c r="B330" s="138" t="s">
        <v>974</v>
      </c>
      <c r="C330" s="136" t="s">
        <v>975</v>
      </c>
      <c r="D330" s="181">
        <v>14.2524</v>
      </c>
      <c r="E330" s="185">
        <v>1.1000000000000001</v>
      </c>
    </row>
    <row r="331" spans="1:5" x14ac:dyDescent="0.3">
      <c r="A331" s="134">
        <v>24405</v>
      </c>
      <c r="B331" s="138" t="s">
        <v>976</v>
      </c>
      <c r="C331" s="136" t="s">
        <v>977</v>
      </c>
      <c r="D331" s="181">
        <v>5.6420700000000004</v>
      </c>
      <c r="E331" s="185">
        <v>1.1000000000000001</v>
      </c>
    </row>
    <row r="332" spans="1:5" x14ac:dyDescent="0.3">
      <c r="A332" s="134">
        <v>24240</v>
      </c>
      <c r="B332" s="138" t="s">
        <v>978</v>
      </c>
      <c r="C332" s="136" t="s">
        <v>979</v>
      </c>
      <c r="D332" s="181">
        <v>10.007066999999999</v>
      </c>
      <c r="E332" s="185">
        <v>1.1000000000000001</v>
      </c>
    </row>
    <row r="333" spans="1:5" x14ac:dyDescent="0.3">
      <c r="A333" s="134">
        <v>24410</v>
      </c>
      <c r="B333" s="138" t="s">
        <v>980</v>
      </c>
      <c r="C333" s="136" t="s">
        <v>981</v>
      </c>
      <c r="D333" s="181">
        <v>2.0015940000000003</v>
      </c>
      <c r="E333" s="185">
        <v>1.1000000000000001</v>
      </c>
    </row>
    <row r="334" spans="1:5" ht="28.5" x14ac:dyDescent="0.3">
      <c r="A334" s="134">
        <v>24420</v>
      </c>
      <c r="B334" s="138" t="s">
        <v>982</v>
      </c>
      <c r="C334" s="136" t="s">
        <v>983</v>
      </c>
      <c r="D334" s="181">
        <v>2.57917737</v>
      </c>
      <c r="E334" s="185">
        <v>1.1000000000000001</v>
      </c>
    </row>
    <row r="335" spans="1:5" ht="14.25" customHeight="1" x14ac:dyDescent="0.3">
      <c r="A335" s="134">
        <v>24425</v>
      </c>
      <c r="B335" s="138" t="s">
        <v>984</v>
      </c>
      <c r="C335" s="136" t="s">
        <v>985</v>
      </c>
      <c r="D335" s="181">
        <v>14.534939999999999</v>
      </c>
      <c r="E335" s="185">
        <v>1.1000000000000001</v>
      </c>
    </row>
    <row r="336" spans="1:5" x14ac:dyDescent="0.3">
      <c r="A336" s="134">
        <v>24250</v>
      </c>
      <c r="B336" s="138" t="s">
        <v>986</v>
      </c>
      <c r="C336" s="136" t="s">
        <v>987</v>
      </c>
      <c r="D336" s="181">
        <v>3.7736789999999996</v>
      </c>
      <c r="E336" s="185">
        <v>1.1000000000000001</v>
      </c>
    </row>
    <row r="337" spans="1:5" x14ac:dyDescent="0.3">
      <c r="A337" s="134">
        <v>24306</v>
      </c>
      <c r="B337" s="138" t="s">
        <v>988</v>
      </c>
      <c r="C337" s="136" t="s">
        <v>989</v>
      </c>
      <c r="D337" s="181">
        <v>12.20121</v>
      </c>
      <c r="E337" s="185">
        <v>1.1000000000000001</v>
      </c>
    </row>
    <row r="338" spans="1:5" x14ac:dyDescent="0.3">
      <c r="A338" s="134">
        <v>24316</v>
      </c>
      <c r="B338" s="138" t="s">
        <v>990</v>
      </c>
      <c r="C338" s="136" t="s">
        <v>991</v>
      </c>
      <c r="D338" s="181">
        <v>1.2271454999999998</v>
      </c>
      <c r="E338" s="185">
        <v>1.1000000000000001</v>
      </c>
    </row>
    <row r="339" spans="1:5" x14ac:dyDescent="0.3">
      <c r="A339" s="134">
        <v>24215</v>
      </c>
      <c r="B339" s="138" t="s">
        <v>992</v>
      </c>
      <c r="C339" s="136" t="s">
        <v>993</v>
      </c>
      <c r="D339" s="181">
        <v>5.0939700000000006</v>
      </c>
      <c r="E339" s="185">
        <v>1.1000000000000001</v>
      </c>
    </row>
    <row r="340" spans="1:5" x14ac:dyDescent="0.3">
      <c r="A340" s="134">
        <v>24331</v>
      </c>
      <c r="B340" s="138" t="s">
        <v>994</v>
      </c>
      <c r="C340" s="136" t="s">
        <v>995</v>
      </c>
      <c r="D340" s="181">
        <v>7.1711640000000001</v>
      </c>
      <c r="E340" s="185">
        <v>1.1000000000000001</v>
      </c>
    </row>
    <row r="341" spans="1:5" x14ac:dyDescent="0.3">
      <c r="A341" s="134">
        <v>24380</v>
      </c>
      <c r="B341" s="138" t="s">
        <v>996</v>
      </c>
      <c r="C341" s="136" t="s">
        <v>997</v>
      </c>
      <c r="D341" s="181">
        <v>0.89594399999999996</v>
      </c>
      <c r="E341" s="185">
        <v>0.4</v>
      </c>
    </row>
    <row r="342" spans="1:5" x14ac:dyDescent="0.3">
      <c r="A342" s="135"/>
      <c r="B342" s="171"/>
      <c r="C342" s="173" t="s">
        <v>295</v>
      </c>
      <c r="D342" s="182"/>
      <c r="E342" s="186"/>
    </row>
    <row r="343" spans="1:5" x14ac:dyDescent="0.3">
      <c r="A343" s="134">
        <v>24013</v>
      </c>
      <c r="B343" s="138" t="s">
        <v>998</v>
      </c>
      <c r="C343" s="136" t="s">
        <v>999</v>
      </c>
      <c r="D343" s="181">
        <v>58.563750000000006</v>
      </c>
      <c r="E343" s="185">
        <v>1.1000000000000001</v>
      </c>
    </row>
    <row r="344" spans="1:5" x14ac:dyDescent="0.3">
      <c r="A344" s="134">
        <v>24015</v>
      </c>
      <c r="B344" s="138" t="s">
        <v>1000</v>
      </c>
      <c r="C344" s="136" t="s">
        <v>1001</v>
      </c>
      <c r="D344" s="181">
        <v>19.252599999999997</v>
      </c>
      <c r="E344" s="185">
        <v>1.1000000000000001</v>
      </c>
    </row>
    <row r="345" spans="1:5" x14ac:dyDescent="0.3">
      <c r="A345" s="134">
        <v>24011</v>
      </c>
      <c r="B345" s="138" t="s">
        <v>1002</v>
      </c>
      <c r="C345" s="136" t="s">
        <v>1003</v>
      </c>
      <c r="D345" s="181">
        <v>6.7571700000000003</v>
      </c>
      <c r="E345" s="185">
        <v>1.1000000000000001</v>
      </c>
    </row>
    <row r="346" spans="1:5" ht="28.5" x14ac:dyDescent="0.3">
      <c r="A346" s="134">
        <v>24017</v>
      </c>
      <c r="B346" s="138" t="s">
        <v>1004</v>
      </c>
      <c r="C346" s="136" t="s">
        <v>1005</v>
      </c>
      <c r="D346" s="181">
        <v>33.407849999999996</v>
      </c>
      <c r="E346" s="185">
        <v>1.1000000000000001</v>
      </c>
    </row>
    <row r="347" spans="1:5" x14ac:dyDescent="0.3">
      <c r="A347" s="134">
        <v>24020</v>
      </c>
      <c r="B347" s="138" t="s">
        <v>1006</v>
      </c>
      <c r="C347" s="136" t="s">
        <v>1007</v>
      </c>
      <c r="D347" s="181">
        <v>15.1873</v>
      </c>
      <c r="E347" s="185">
        <v>1.1000000000000001</v>
      </c>
    </row>
    <row r="348" spans="1:5" x14ac:dyDescent="0.3">
      <c r="A348" s="134">
        <v>24023</v>
      </c>
      <c r="B348" s="138" t="s">
        <v>1008</v>
      </c>
      <c r="C348" s="136" t="s">
        <v>1009</v>
      </c>
      <c r="D348" s="181">
        <v>5.5860999999999992</v>
      </c>
      <c r="E348" s="185">
        <v>1.1000000000000001</v>
      </c>
    </row>
    <row r="349" spans="1:5" x14ac:dyDescent="0.3">
      <c r="A349" s="134">
        <v>24043</v>
      </c>
      <c r="B349" s="138" t="s">
        <v>1010</v>
      </c>
      <c r="C349" s="136" t="s">
        <v>1011</v>
      </c>
      <c r="D349" s="181">
        <v>14.5284</v>
      </c>
      <c r="E349" s="185">
        <v>1.1000000000000001</v>
      </c>
    </row>
    <row r="350" spans="1:5" ht="30" customHeight="1" x14ac:dyDescent="0.3">
      <c r="A350" s="134">
        <v>24060</v>
      </c>
      <c r="B350" s="138" t="s">
        <v>1012</v>
      </c>
      <c r="C350" s="136" t="s">
        <v>1013</v>
      </c>
      <c r="D350" s="181">
        <v>12.732899999999999</v>
      </c>
      <c r="E350" s="185">
        <v>1.1000000000000001</v>
      </c>
    </row>
    <row r="351" spans="1:5" x14ac:dyDescent="0.3">
      <c r="A351" s="134">
        <v>24077</v>
      </c>
      <c r="B351" s="138" t="s">
        <v>1014</v>
      </c>
      <c r="C351" s="136" t="s">
        <v>1015</v>
      </c>
      <c r="D351" s="181">
        <v>3.6512346161500462</v>
      </c>
      <c r="E351" s="185">
        <v>1.1000000000000001</v>
      </c>
    </row>
    <row r="352" spans="1:5" ht="30" customHeight="1" x14ac:dyDescent="0.3">
      <c r="A352" s="134"/>
      <c r="B352" s="138"/>
      <c r="C352" s="144" t="s">
        <v>1016</v>
      </c>
      <c r="D352" s="181"/>
      <c r="E352" s="185"/>
    </row>
    <row r="353" spans="1:5" x14ac:dyDescent="0.3">
      <c r="A353" s="134">
        <v>24100</v>
      </c>
      <c r="B353" s="138" t="s">
        <v>1017</v>
      </c>
      <c r="C353" s="136" t="s">
        <v>1018</v>
      </c>
      <c r="D353" s="181">
        <v>11.662140000000001</v>
      </c>
      <c r="E353" s="185">
        <v>1.1000000000000001</v>
      </c>
    </row>
    <row r="354" spans="1:5" x14ac:dyDescent="0.3">
      <c r="A354" s="134">
        <v>24083</v>
      </c>
      <c r="B354" s="138" t="s">
        <v>1019</v>
      </c>
      <c r="C354" s="136" t="s">
        <v>1020</v>
      </c>
      <c r="D354" s="181">
        <v>11.303039999999999</v>
      </c>
      <c r="E354" s="185">
        <v>1.1000000000000001</v>
      </c>
    </row>
    <row r="355" spans="1:5" x14ac:dyDescent="0.3">
      <c r="A355" s="134">
        <v>24086</v>
      </c>
      <c r="B355" s="138" t="s">
        <v>1021</v>
      </c>
      <c r="C355" s="136" t="s">
        <v>1022</v>
      </c>
      <c r="D355" s="181">
        <v>11.586539999999999</v>
      </c>
      <c r="E355" s="185">
        <v>1.1000000000000001</v>
      </c>
    </row>
    <row r="356" spans="1:5" x14ac:dyDescent="0.3">
      <c r="A356" s="134">
        <v>24089</v>
      </c>
      <c r="B356" s="138" t="s">
        <v>1023</v>
      </c>
      <c r="C356" s="136" t="s">
        <v>1024</v>
      </c>
      <c r="D356" s="181">
        <v>12.81504</v>
      </c>
      <c r="E356" s="185">
        <v>1.1000000000000001</v>
      </c>
    </row>
    <row r="357" spans="1:5" x14ac:dyDescent="0.3">
      <c r="A357" s="134">
        <v>24095</v>
      </c>
      <c r="B357" s="138" t="s">
        <v>1025</v>
      </c>
      <c r="C357" s="136" t="s">
        <v>1026</v>
      </c>
      <c r="D357" s="181">
        <v>24.39171</v>
      </c>
      <c r="E357" s="185">
        <v>1.1000000000000001</v>
      </c>
    </row>
    <row r="358" spans="1:5" x14ac:dyDescent="0.3">
      <c r="A358" s="134">
        <v>24092</v>
      </c>
      <c r="B358" s="138" t="s">
        <v>1027</v>
      </c>
      <c r="C358" s="136" t="s">
        <v>1028</v>
      </c>
      <c r="D358" s="181">
        <v>12.12561</v>
      </c>
      <c r="E358" s="185">
        <v>1.1000000000000001</v>
      </c>
    </row>
    <row r="359" spans="1:5" x14ac:dyDescent="0.3">
      <c r="A359" s="134">
        <v>24101</v>
      </c>
      <c r="B359" s="138" t="s">
        <v>1029</v>
      </c>
      <c r="C359" s="136" t="s">
        <v>1030</v>
      </c>
      <c r="D359" s="181">
        <v>13.90221</v>
      </c>
      <c r="E359" s="185">
        <v>1.1000000000000001</v>
      </c>
    </row>
    <row r="360" spans="1:5" x14ac:dyDescent="0.3">
      <c r="A360" s="134">
        <v>24104</v>
      </c>
      <c r="B360" s="138" t="s">
        <v>1031</v>
      </c>
      <c r="C360" s="136" t="s">
        <v>1032</v>
      </c>
      <c r="D360" s="181">
        <v>16.642710000000001</v>
      </c>
      <c r="E360" s="185">
        <v>1.1000000000000001</v>
      </c>
    </row>
    <row r="361" spans="1:5" x14ac:dyDescent="0.3">
      <c r="A361" s="134">
        <v>24107</v>
      </c>
      <c r="B361" s="138" t="s">
        <v>1033</v>
      </c>
      <c r="C361" s="136" t="s">
        <v>1034</v>
      </c>
      <c r="D361" s="181">
        <v>16.37811</v>
      </c>
      <c r="E361" s="185">
        <v>1.1000000000000001</v>
      </c>
    </row>
    <row r="362" spans="1:5" x14ac:dyDescent="0.3">
      <c r="A362" s="134">
        <v>24110</v>
      </c>
      <c r="B362" s="138" t="s">
        <v>1035</v>
      </c>
      <c r="C362" s="136" t="s">
        <v>1036</v>
      </c>
      <c r="D362" s="181">
        <v>17.946809999999999</v>
      </c>
      <c r="E362" s="185">
        <v>1.1000000000000001</v>
      </c>
    </row>
    <row r="363" spans="1:5" x14ac:dyDescent="0.3">
      <c r="A363" s="134">
        <v>24113</v>
      </c>
      <c r="B363" s="138" t="s">
        <v>1037</v>
      </c>
      <c r="C363" s="136" t="s">
        <v>1038</v>
      </c>
      <c r="D363" s="181">
        <v>11.258982</v>
      </c>
      <c r="E363" s="185">
        <v>1.1000000000000001</v>
      </c>
    </row>
    <row r="364" spans="1:5" ht="28.5" x14ac:dyDescent="0.3">
      <c r="A364" s="134">
        <v>24223</v>
      </c>
      <c r="B364" s="138" t="s">
        <v>1039</v>
      </c>
      <c r="C364" s="136" t="s">
        <v>1040</v>
      </c>
      <c r="D364" s="181">
        <v>53.177250000000001</v>
      </c>
      <c r="E364" s="185">
        <v>1.1000000000000001</v>
      </c>
    </row>
    <row r="365" spans="1:5" x14ac:dyDescent="0.3">
      <c r="A365" s="134"/>
      <c r="B365" s="138"/>
      <c r="C365" s="136" t="s">
        <v>1041</v>
      </c>
      <c r="D365" s="181"/>
      <c r="E365" s="185"/>
    </row>
    <row r="366" spans="1:5" x14ac:dyDescent="0.3">
      <c r="A366" s="134">
        <v>24238</v>
      </c>
      <c r="B366" s="138" t="s">
        <v>1042</v>
      </c>
      <c r="C366" s="136" t="s">
        <v>1043</v>
      </c>
      <c r="D366" s="181">
        <v>6.1042000000000005</v>
      </c>
      <c r="E366" s="185">
        <v>1.1000000000000001</v>
      </c>
    </row>
    <row r="367" spans="1:5" ht="28.5" x14ac:dyDescent="0.3">
      <c r="A367" s="134">
        <v>24255</v>
      </c>
      <c r="B367" s="138" t="s">
        <v>1044</v>
      </c>
      <c r="C367" s="136" t="s">
        <v>1045</v>
      </c>
      <c r="D367" s="181">
        <v>21.377580000000002</v>
      </c>
      <c r="E367" s="185">
        <v>1.1000000000000001</v>
      </c>
    </row>
    <row r="368" spans="1:5" x14ac:dyDescent="0.3">
      <c r="A368" s="134">
        <v>24277</v>
      </c>
      <c r="B368" s="138" t="s">
        <v>1046</v>
      </c>
      <c r="C368" s="136" t="s">
        <v>1047</v>
      </c>
      <c r="D368" s="181">
        <v>9.8585760000000011</v>
      </c>
      <c r="E368" s="185">
        <v>1.1000000000000001</v>
      </c>
    </row>
    <row r="369" spans="1:5" x14ac:dyDescent="0.3">
      <c r="A369" s="134">
        <v>24290</v>
      </c>
      <c r="B369" s="138" t="s">
        <v>1048</v>
      </c>
      <c r="C369" s="136" t="s">
        <v>1049</v>
      </c>
      <c r="D369" s="181">
        <v>5.5700820000000002</v>
      </c>
      <c r="E369" s="185">
        <v>1.1000000000000001</v>
      </c>
    </row>
    <row r="370" spans="1:5" x14ac:dyDescent="0.3">
      <c r="A370" s="134">
        <v>24295</v>
      </c>
      <c r="B370" s="138" t="s">
        <v>1050</v>
      </c>
      <c r="C370" s="136" t="s">
        <v>1051</v>
      </c>
      <c r="D370" s="181">
        <v>18.5533</v>
      </c>
      <c r="E370" s="185">
        <v>1.1000000000000001</v>
      </c>
    </row>
    <row r="371" spans="1:5" x14ac:dyDescent="0.3">
      <c r="A371" s="134">
        <v>24297</v>
      </c>
      <c r="B371" s="138" t="s">
        <v>1052</v>
      </c>
      <c r="C371" s="136" t="s">
        <v>1053</v>
      </c>
      <c r="D371" s="181">
        <v>17.2303</v>
      </c>
      <c r="E371" s="185">
        <v>1.1000000000000001</v>
      </c>
    </row>
    <row r="372" spans="1:5" x14ac:dyDescent="0.3">
      <c r="A372" s="134">
        <v>24298</v>
      </c>
      <c r="B372" s="138" t="s">
        <v>1054</v>
      </c>
      <c r="C372" s="136" t="s">
        <v>1055</v>
      </c>
      <c r="D372" s="181">
        <v>18.137499999999999</v>
      </c>
      <c r="E372" s="185">
        <v>1.1000000000000001</v>
      </c>
    </row>
    <row r="373" spans="1:5" x14ac:dyDescent="0.3">
      <c r="A373" s="134">
        <v>24344</v>
      </c>
      <c r="B373" s="138" t="s">
        <v>1056</v>
      </c>
      <c r="C373" s="136" t="s">
        <v>1057</v>
      </c>
      <c r="D373" s="181">
        <v>2.2652909999999999</v>
      </c>
      <c r="E373" s="185">
        <v>1.1000000000000001</v>
      </c>
    </row>
    <row r="374" spans="1:5" x14ac:dyDescent="0.3">
      <c r="A374" s="134">
        <v>24347</v>
      </c>
      <c r="B374" s="138" t="s">
        <v>1058</v>
      </c>
      <c r="C374" s="136" t="s">
        <v>1059</v>
      </c>
      <c r="D374" s="181">
        <v>2.2035751162772295</v>
      </c>
      <c r="E374" s="185">
        <v>1.1000000000000001</v>
      </c>
    </row>
    <row r="375" spans="1:5" x14ac:dyDescent="0.3">
      <c r="A375" s="134">
        <v>24350</v>
      </c>
      <c r="B375" s="138" t="s">
        <v>1060</v>
      </c>
      <c r="C375" s="136" t="s">
        <v>1061</v>
      </c>
      <c r="D375" s="181">
        <v>3.1697819999999997</v>
      </c>
      <c r="E375" s="185">
        <v>1.1000000000000001</v>
      </c>
    </row>
    <row r="376" spans="1:5" x14ac:dyDescent="0.3">
      <c r="A376" s="134">
        <v>24356</v>
      </c>
      <c r="B376" s="138" t="s">
        <v>1062</v>
      </c>
      <c r="C376" s="136" t="s">
        <v>1063</v>
      </c>
      <c r="D376" s="181">
        <v>2.528988</v>
      </c>
      <c r="E376" s="185">
        <v>1.1000000000000001</v>
      </c>
    </row>
    <row r="377" spans="1:5" ht="28.5" x14ac:dyDescent="0.3">
      <c r="A377" s="134">
        <v>24359</v>
      </c>
      <c r="B377" s="138" t="s">
        <v>1064</v>
      </c>
      <c r="C377" s="136" t="s">
        <v>1065</v>
      </c>
      <c r="D377" s="181">
        <v>2.6041900366407971</v>
      </c>
      <c r="E377" s="185">
        <v>1.1000000000000001</v>
      </c>
    </row>
    <row r="378" spans="1:5" ht="28.5" x14ac:dyDescent="0.3">
      <c r="A378" s="134"/>
      <c r="B378" s="138"/>
      <c r="C378" s="136" t="s">
        <v>1066</v>
      </c>
      <c r="D378" s="181"/>
      <c r="E378" s="185"/>
    </row>
    <row r="379" spans="1:5" x14ac:dyDescent="0.3">
      <c r="A379" s="134">
        <v>24382</v>
      </c>
      <c r="B379" s="138" t="s">
        <v>1067</v>
      </c>
      <c r="C379" s="136" t="s">
        <v>1068</v>
      </c>
      <c r="D379" s="181">
        <v>16.710987472527471</v>
      </c>
      <c r="E379" s="185">
        <v>1.1000000000000001</v>
      </c>
    </row>
    <row r="380" spans="1:5" x14ac:dyDescent="0.3">
      <c r="A380" s="134"/>
      <c r="B380" s="138"/>
      <c r="C380" s="136"/>
      <c r="D380" s="181"/>
      <c r="E380" s="185"/>
    </row>
    <row r="381" spans="1:5" x14ac:dyDescent="0.3">
      <c r="A381" s="135"/>
      <c r="B381" s="170"/>
      <c r="C381" s="151" t="s">
        <v>296</v>
      </c>
      <c r="D381" s="182"/>
      <c r="E381" s="186"/>
    </row>
    <row r="382" spans="1:5" ht="15" customHeight="1" x14ac:dyDescent="0.3">
      <c r="A382" s="134">
        <v>25024</v>
      </c>
      <c r="B382" s="138" t="s">
        <v>1069</v>
      </c>
      <c r="C382" s="136" t="s">
        <v>1070</v>
      </c>
      <c r="D382" s="181">
        <v>13.714899999999998</v>
      </c>
      <c r="E382" s="185">
        <v>1.1000000000000001</v>
      </c>
    </row>
    <row r="383" spans="1:5" x14ac:dyDescent="0.3">
      <c r="A383" s="134">
        <v>25017</v>
      </c>
      <c r="B383" s="138" t="s">
        <v>1071</v>
      </c>
      <c r="C383" s="136" t="s">
        <v>1072</v>
      </c>
      <c r="D383" s="181">
        <v>18.590250000000001</v>
      </c>
      <c r="E383" s="185">
        <v>1.1000000000000001</v>
      </c>
    </row>
    <row r="384" spans="1:5" ht="28.5" x14ac:dyDescent="0.3">
      <c r="A384" s="134">
        <v>25021</v>
      </c>
      <c r="B384" s="138" t="s">
        <v>1073</v>
      </c>
      <c r="C384" s="136" t="s">
        <v>1074</v>
      </c>
      <c r="D384" s="181">
        <v>7.0786999999999995</v>
      </c>
      <c r="E384" s="185">
        <v>1.1000000000000001</v>
      </c>
    </row>
    <row r="385" spans="1:5" ht="14.25" customHeight="1" x14ac:dyDescent="0.3">
      <c r="A385" s="134">
        <v>25020</v>
      </c>
      <c r="B385" s="138" t="s">
        <v>1075</v>
      </c>
      <c r="C385" s="136" t="s">
        <v>1076</v>
      </c>
      <c r="D385" s="181">
        <v>7.0786999999999995</v>
      </c>
      <c r="E385" s="185">
        <v>1.1000000000000001</v>
      </c>
    </row>
    <row r="386" spans="1:5" ht="14.25" customHeight="1" x14ac:dyDescent="0.3">
      <c r="A386" s="134">
        <v>25019</v>
      </c>
      <c r="B386" s="138" t="s">
        <v>1077</v>
      </c>
      <c r="C386" s="136" t="s">
        <v>1078</v>
      </c>
      <c r="D386" s="181">
        <v>8.0803999999999991</v>
      </c>
      <c r="E386" s="185">
        <v>1.1000000000000001</v>
      </c>
    </row>
    <row r="387" spans="1:5" ht="42.75" x14ac:dyDescent="0.3">
      <c r="A387" s="134">
        <v>25435</v>
      </c>
      <c r="B387" s="138" t="s">
        <v>1079</v>
      </c>
      <c r="C387" s="136" t="s">
        <v>1080</v>
      </c>
      <c r="D387" s="181">
        <v>11.803699999999999</v>
      </c>
      <c r="E387" s="185">
        <v>1.1000000000000001</v>
      </c>
    </row>
    <row r="388" spans="1:5" x14ac:dyDescent="0.3">
      <c r="A388" s="134">
        <v>25023</v>
      </c>
      <c r="B388" s="138" t="s">
        <v>1081</v>
      </c>
      <c r="C388" s="136" t="s">
        <v>1082</v>
      </c>
      <c r="D388" s="181">
        <v>12.6820335192897</v>
      </c>
      <c r="E388" s="185">
        <v>1.1000000000000001</v>
      </c>
    </row>
    <row r="389" spans="1:5" x14ac:dyDescent="0.3">
      <c r="A389" s="134">
        <v>25030</v>
      </c>
      <c r="B389" s="138" t="s">
        <v>1083</v>
      </c>
      <c r="C389" s="136" t="s">
        <v>1084</v>
      </c>
      <c r="D389" s="181">
        <v>9.5292206896551725</v>
      </c>
      <c r="E389" s="185">
        <v>1.1000000000000001</v>
      </c>
    </row>
    <row r="390" spans="1:5" x14ac:dyDescent="0.3">
      <c r="A390" s="134">
        <v>25031</v>
      </c>
      <c r="B390" s="138" t="s">
        <v>1085</v>
      </c>
      <c r="C390" s="136" t="s">
        <v>1086</v>
      </c>
      <c r="D390" s="181">
        <v>8.6759400000000007</v>
      </c>
      <c r="E390" s="185">
        <v>1.1000000000000001</v>
      </c>
    </row>
    <row r="391" spans="1:5" x14ac:dyDescent="0.3">
      <c r="A391" s="134">
        <v>25041</v>
      </c>
      <c r="B391" s="138" t="s">
        <v>1087</v>
      </c>
      <c r="C391" s="136" t="s">
        <v>1088</v>
      </c>
      <c r="D391" s="181">
        <v>19.034399999999998</v>
      </c>
      <c r="E391" s="185">
        <v>1.1000000000000001</v>
      </c>
    </row>
    <row r="392" spans="1:5" x14ac:dyDescent="0.3">
      <c r="A392" s="134">
        <v>25042</v>
      </c>
      <c r="B392" s="138" t="s">
        <v>1089</v>
      </c>
      <c r="C392" s="136" t="s">
        <v>1090</v>
      </c>
      <c r="D392" s="181">
        <v>23.953199999999999</v>
      </c>
      <c r="E392" s="185">
        <v>1.1000000000000001</v>
      </c>
    </row>
    <row r="393" spans="1:5" x14ac:dyDescent="0.3">
      <c r="A393" s="134">
        <v>25045</v>
      </c>
      <c r="B393" s="138" t="s">
        <v>1091</v>
      </c>
      <c r="C393" s="136" t="s">
        <v>1092</v>
      </c>
      <c r="D393" s="181">
        <v>19.043849999999999</v>
      </c>
      <c r="E393" s="185">
        <v>1.1000000000000001</v>
      </c>
    </row>
    <row r="394" spans="1:5" ht="28.5" x14ac:dyDescent="0.3">
      <c r="A394" s="134">
        <v>25048</v>
      </c>
      <c r="B394" s="138" t="s">
        <v>1093</v>
      </c>
      <c r="C394" s="136" t="s">
        <v>1094</v>
      </c>
      <c r="D394" s="181">
        <v>12.20121</v>
      </c>
      <c r="E394" s="185">
        <v>1.1000000000000001</v>
      </c>
    </row>
    <row r="395" spans="1:5" x14ac:dyDescent="0.3">
      <c r="A395" s="134">
        <v>25051</v>
      </c>
      <c r="B395" s="138" t="s">
        <v>1095</v>
      </c>
      <c r="C395" s="136" t="s">
        <v>1096</v>
      </c>
      <c r="D395" s="181">
        <v>19.157250000000001</v>
      </c>
      <c r="E395" s="185">
        <v>1.1000000000000001</v>
      </c>
    </row>
    <row r="396" spans="1:5" ht="28.5" x14ac:dyDescent="0.3">
      <c r="A396" s="134">
        <v>25054</v>
      </c>
      <c r="B396" s="138" t="s">
        <v>1097</v>
      </c>
      <c r="C396" s="136" t="s">
        <v>1098</v>
      </c>
      <c r="D396" s="181">
        <v>18.60915</v>
      </c>
      <c r="E396" s="185">
        <v>1.1000000000000001</v>
      </c>
    </row>
    <row r="397" spans="1:5" ht="28.5" x14ac:dyDescent="0.3">
      <c r="A397" s="134">
        <v>25076</v>
      </c>
      <c r="B397" s="138" t="s">
        <v>1099</v>
      </c>
      <c r="C397" s="136" t="s">
        <v>1100</v>
      </c>
      <c r="D397" s="181">
        <v>18.476849999999999</v>
      </c>
      <c r="E397" s="185">
        <v>1.1000000000000001</v>
      </c>
    </row>
    <row r="398" spans="1:5" ht="28.5" x14ac:dyDescent="0.3">
      <c r="A398" s="134">
        <v>25077</v>
      </c>
      <c r="B398" s="138" t="s">
        <v>1101</v>
      </c>
      <c r="C398" s="136" t="s">
        <v>1102</v>
      </c>
      <c r="D398" s="181">
        <v>18.476849999999999</v>
      </c>
      <c r="E398" s="185">
        <v>1.1000000000000001</v>
      </c>
    </row>
    <row r="399" spans="1:5" ht="28.5" x14ac:dyDescent="0.3">
      <c r="A399" s="134">
        <v>25078</v>
      </c>
      <c r="B399" s="138" t="s">
        <v>1103</v>
      </c>
      <c r="C399" s="136" t="s">
        <v>1104</v>
      </c>
      <c r="D399" s="181">
        <v>18.476849999999999</v>
      </c>
      <c r="E399" s="185">
        <v>1.1000000000000001</v>
      </c>
    </row>
    <row r="400" spans="1:5" ht="28.5" x14ac:dyDescent="0.3">
      <c r="A400" s="134">
        <v>25080</v>
      </c>
      <c r="B400" s="138" t="s">
        <v>1105</v>
      </c>
      <c r="C400" s="136" t="s">
        <v>1106</v>
      </c>
      <c r="D400" s="181">
        <v>18.476849999999999</v>
      </c>
      <c r="E400" s="185">
        <v>1.1000000000000001</v>
      </c>
    </row>
    <row r="401" spans="1:5" ht="28.5" x14ac:dyDescent="0.3">
      <c r="A401" s="134">
        <v>25520</v>
      </c>
      <c r="B401" s="138" t="s">
        <v>1107</v>
      </c>
      <c r="C401" s="136" t="s">
        <v>1108</v>
      </c>
      <c r="D401" s="181">
        <v>22.29</v>
      </c>
      <c r="E401" s="185">
        <v>1.1000000000000001</v>
      </c>
    </row>
    <row r="402" spans="1:5" ht="28.5" x14ac:dyDescent="0.3">
      <c r="A402" s="134">
        <v>25057</v>
      </c>
      <c r="B402" s="138" t="s">
        <v>1109</v>
      </c>
      <c r="C402" s="136" t="s">
        <v>1110</v>
      </c>
      <c r="D402" s="181">
        <v>12.257909999999999</v>
      </c>
      <c r="E402" s="185">
        <v>1.1000000000000001</v>
      </c>
    </row>
    <row r="403" spans="1:5" x14ac:dyDescent="0.3">
      <c r="A403" s="134">
        <v>25358</v>
      </c>
      <c r="B403" s="138" t="s">
        <v>1111</v>
      </c>
      <c r="C403" s="136" t="s">
        <v>1112</v>
      </c>
      <c r="D403" s="181">
        <v>19.251750000000001</v>
      </c>
      <c r="E403" s="185">
        <v>1.1000000000000001</v>
      </c>
    </row>
    <row r="404" spans="1:5" x14ac:dyDescent="0.3">
      <c r="A404" s="134">
        <v>25064</v>
      </c>
      <c r="B404" s="138" t="s">
        <v>1113</v>
      </c>
      <c r="C404" s="136" t="s">
        <v>1114</v>
      </c>
      <c r="D404" s="181">
        <v>18.949349999999999</v>
      </c>
      <c r="E404" s="185">
        <v>1.1000000000000001</v>
      </c>
    </row>
    <row r="405" spans="1:5" x14ac:dyDescent="0.3">
      <c r="A405" s="134">
        <v>25065</v>
      </c>
      <c r="B405" s="138" t="s">
        <v>1115</v>
      </c>
      <c r="C405" s="136" t="s">
        <v>1116</v>
      </c>
      <c r="D405" s="181">
        <v>18.949349999999999</v>
      </c>
      <c r="E405" s="185">
        <v>1.1000000000000001</v>
      </c>
    </row>
    <row r="406" spans="1:5" x14ac:dyDescent="0.3">
      <c r="A406" s="134">
        <v>25069</v>
      </c>
      <c r="B406" s="138" t="s">
        <v>1117</v>
      </c>
      <c r="C406" s="136" t="s">
        <v>1118</v>
      </c>
      <c r="D406" s="181">
        <v>19.251750000000001</v>
      </c>
      <c r="E406" s="185">
        <v>1.1000000000000001</v>
      </c>
    </row>
    <row r="407" spans="1:5" ht="28.5" x14ac:dyDescent="0.3">
      <c r="A407" s="134">
        <v>25070</v>
      </c>
      <c r="B407" s="138" t="s">
        <v>1119</v>
      </c>
      <c r="C407" s="136" t="s">
        <v>1120</v>
      </c>
      <c r="D407" s="181">
        <v>9.6920249999999992</v>
      </c>
      <c r="E407" s="185">
        <v>1.1000000000000001</v>
      </c>
    </row>
    <row r="408" spans="1:5" x14ac:dyDescent="0.3">
      <c r="A408" s="134">
        <v>25071</v>
      </c>
      <c r="B408" s="138" t="s">
        <v>1121</v>
      </c>
      <c r="C408" s="136" t="s">
        <v>1122</v>
      </c>
      <c r="D408" s="181">
        <v>9.6920249999999992</v>
      </c>
      <c r="E408" s="185">
        <v>1.1000000000000001</v>
      </c>
    </row>
    <row r="409" spans="1:5" ht="28.5" x14ac:dyDescent="0.3">
      <c r="A409" s="134">
        <v>25207</v>
      </c>
      <c r="B409" s="138" t="s">
        <v>1123</v>
      </c>
      <c r="C409" s="136" t="s">
        <v>1124</v>
      </c>
      <c r="D409" s="181">
        <v>20.974899999999998</v>
      </c>
      <c r="E409" s="185">
        <v>1.1000000000000001</v>
      </c>
    </row>
    <row r="410" spans="1:5" ht="27" customHeight="1" x14ac:dyDescent="0.3">
      <c r="A410" s="134">
        <v>25206</v>
      </c>
      <c r="B410" s="138" t="s">
        <v>1125</v>
      </c>
      <c r="C410" s="136" t="s">
        <v>1126</v>
      </c>
      <c r="D410" s="181">
        <v>24.916599999999999</v>
      </c>
      <c r="E410" s="185">
        <v>1.1000000000000001</v>
      </c>
    </row>
    <row r="411" spans="1:5" x14ac:dyDescent="0.3">
      <c r="A411" s="134">
        <v>25083</v>
      </c>
      <c r="B411" s="138" t="s">
        <v>1127</v>
      </c>
      <c r="C411" s="136" t="s">
        <v>1128</v>
      </c>
      <c r="D411" s="181">
        <v>5.167764</v>
      </c>
      <c r="E411" s="185">
        <v>1.1000000000000001</v>
      </c>
    </row>
    <row r="412" spans="1:5" x14ac:dyDescent="0.3">
      <c r="A412" s="134">
        <v>25086</v>
      </c>
      <c r="B412" s="138" t="s">
        <v>1129</v>
      </c>
      <c r="C412" s="136" t="s">
        <v>1130</v>
      </c>
      <c r="D412" s="181">
        <v>16.198979999999999</v>
      </c>
      <c r="E412" s="185">
        <v>1.1000000000000001</v>
      </c>
    </row>
    <row r="413" spans="1:5" ht="28.5" x14ac:dyDescent="0.3">
      <c r="A413" s="134">
        <v>25247</v>
      </c>
      <c r="B413" s="138" t="s">
        <v>1131</v>
      </c>
      <c r="C413" s="136" t="s">
        <v>1132</v>
      </c>
      <c r="D413" s="181">
        <v>19.526195092051118</v>
      </c>
      <c r="E413" s="185">
        <v>1.1000000000000001</v>
      </c>
    </row>
    <row r="414" spans="1:5" x14ac:dyDescent="0.3">
      <c r="A414" s="134">
        <v>25635</v>
      </c>
      <c r="B414" s="138" t="s">
        <v>1133</v>
      </c>
      <c r="C414" s="136" t="s">
        <v>1134</v>
      </c>
      <c r="D414" s="181">
        <v>24.543749999999999</v>
      </c>
      <c r="E414" s="185">
        <v>1.1000000000000001</v>
      </c>
    </row>
    <row r="415" spans="1:5" x14ac:dyDescent="0.3">
      <c r="A415" s="134">
        <v>25096</v>
      </c>
      <c r="B415" s="138" t="s">
        <v>1135</v>
      </c>
      <c r="C415" s="136" t="s">
        <v>1136</v>
      </c>
      <c r="D415" s="181">
        <v>4.9598639999999996</v>
      </c>
      <c r="E415" s="185">
        <v>1.1000000000000001</v>
      </c>
    </row>
    <row r="416" spans="1:5" x14ac:dyDescent="0.3">
      <c r="A416" s="134">
        <v>25570</v>
      </c>
      <c r="B416" s="138" t="s">
        <v>1137</v>
      </c>
      <c r="C416" s="136" t="s">
        <v>1138</v>
      </c>
      <c r="D416" s="181">
        <v>6.4927999999999999</v>
      </c>
      <c r="E416" s="185">
        <v>1.1000000000000001</v>
      </c>
    </row>
    <row r="417" spans="1:5" x14ac:dyDescent="0.3">
      <c r="A417" s="134">
        <v>25571</v>
      </c>
      <c r="B417" s="138" t="s">
        <v>1139</v>
      </c>
      <c r="C417" s="136" t="s">
        <v>1140</v>
      </c>
      <c r="D417" s="181">
        <v>6.4927999999999999</v>
      </c>
      <c r="E417" s="185">
        <v>1.1000000000000001</v>
      </c>
    </row>
    <row r="418" spans="1:5" ht="30.75" customHeight="1" x14ac:dyDescent="0.3">
      <c r="A418" s="134">
        <v>25118</v>
      </c>
      <c r="B418" s="138" t="s">
        <v>1141</v>
      </c>
      <c r="C418" s="136" t="s">
        <v>1142</v>
      </c>
      <c r="D418" s="181">
        <v>16.915764822695035</v>
      </c>
      <c r="E418" s="185">
        <v>1.1000000000000001</v>
      </c>
    </row>
    <row r="419" spans="1:5" x14ac:dyDescent="0.3">
      <c r="A419" s="134">
        <v>25119</v>
      </c>
      <c r="B419" s="138" t="s">
        <v>1143</v>
      </c>
      <c r="C419" s="136" t="s">
        <v>1144</v>
      </c>
      <c r="D419" s="181">
        <v>4.8568817029265592</v>
      </c>
      <c r="E419" s="185">
        <v>1.1000000000000001</v>
      </c>
    </row>
    <row r="420" spans="1:5" x14ac:dyDescent="0.3">
      <c r="A420" s="134">
        <v>25120</v>
      </c>
      <c r="B420" s="138" t="s">
        <v>1145</v>
      </c>
      <c r="C420" s="136" t="s">
        <v>1146</v>
      </c>
      <c r="D420" s="181">
        <v>4.8275639999999997</v>
      </c>
      <c r="E420" s="185">
        <v>1.1000000000000001</v>
      </c>
    </row>
    <row r="421" spans="1:5" x14ac:dyDescent="0.3">
      <c r="A421" s="134">
        <v>25575</v>
      </c>
      <c r="B421" s="138" t="s">
        <v>1147</v>
      </c>
      <c r="C421" s="136" t="s">
        <v>1148</v>
      </c>
      <c r="D421" s="181">
        <v>10.64320359375</v>
      </c>
      <c r="E421" s="185">
        <v>1.1000000000000001</v>
      </c>
    </row>
    <row r="422" spans="1:5" x14ac:dyDescent="0.3">
      <c r="A422" s="134">
        <v>25125</v>
      </c>
      <c r="B422" s="138" t="s">
        <v>1149</v>
      </c>
      <c r="C422" s="136" t="s">
        <v>1150</v>
      </c>
      <c r="D422" s="181">
        <v>13.953500046728971</v>
      </c>
      <c r="E422" s="185">
        <v>1.1000000000000001</v>
      </c>
    </row>
    <row r="423" spans="1:5" x14ac:dyDescent="0.3">
      <c r="A423" s="134">
        <v>25137</v>
      </c>
      <c r="B423" s="138" t="s">
        <v>1151</v>
      </c>
      <c r="C423" s="136" t="s">
        <v>1152</v>
      </c>
      <c r="D423" s="181">
        <v>19.845840000000003</v>
      </c>
      <c r="E423" s="185">
        <v>1.1000000000000001</v>
      </c>
    </row>
    <row r="424" spans="1:5" x14ac:dyDescent="0.3">
      <c r="A424" s="134">
        <v>25140</v>
      </c>
      <c r="B424" s="138" t="s">
        <v>1153</v>
      </c>
      <c r="C424" s="136" t="s">
        <v>1154</v>
      </c>
      <c r="D424" s="181">
        <v>1.6226909999999999</v>
      </c>
      <c r="E424" s="185">
        <v>0.8</v>
      </c>
    </row>
    <row r="425" spans="1:5" x14ac:dyDescent="0.3">
      <c r="A425" s="134">
        <v>25183</v>
      </c>
      <c r="B425" s="138" t="s">
        <v>1155</v>
      </c>
      <c r="C425" s="136" t="s">
        <v>1156</v>
      </c>
      <c r="D425" s="181">
        <v>3.5630888146937947</v>
      </c>
      <c r="E425" s="185">
        <v>1.1000000000000001</v>
      </c>
    </row>
    <row r="426" spans="1:5" ht="14.25" customHeight="1" x14ac:dyDescent="0.3">
      <c r="A426" s="134"/>
      <c r="B426" s="138"/>
      <c r="C426" s="136" t="s">
        <v>1157</v>
      </c>
      <c r="D426" s="181"/>
      <c r="E426" s="185"/>
    </row>
    <row r="427" spans="1:5" x14ac:dyDescent="0.3">
      <c r="A427" s="134">
        <v>25216</v>
      </c>
      <c r="B427" s="138" t="s">
        <v>1158</v>
      </c>
      <c r="C427" s="136" t="s">
        <v>1159</v>
      </c>
      <c r="D427" s="181">
        <v>11.224961877872619</v>
      </c>
      <c r="E427" s="185">
        <v>1.1000000000000001</v>
      </c>
    </row>
    <row r="428" spans="1:5" ht="28.5" x14ac:dyDescent="0.3">
      <c r="A428" s="134"/>
      <c r="B428" s="138"/>
      <c r="C428" s="136" t="s">
        <v>1160</v>
      </c>
      <c r="D428" s="181"/>
      <c r="E428" s="185"/>
    </row>
    <row r="429" spans="1:5" x14ac:dyDescent="0.3">
      <c r="A429" s="134"/>
      <c r="B429" s="138"/>
      <c r="C429" s="136" t="s">
        <v>1161</v>
      </c>
      <c r="D429" s="181"/>
      <c r="E429" s="185"/>
    </row>
    <row r="430" spans="1:5" ht="14.25" customHeight="1" x14ac:dyDescent="0.3">
      <c r="A430" s="134">
        <v>25255</v>
      </c>
      <c r="B430" s="138" t="s">
        <v>1162</v>
      </c>
      <c r="C430" s="136" t="s">
        <v>1163</v>
      </c>
      <c r="D430" s="181">
        <v>10.734233999999999</v>
      </c>
      <c r="E430" s="185">
        <v>1.1000000000000001</v>
      </c>
    </row>
    <row r="431" spans="1:5" ht="14.25" customHeight="1" x14ac:dyDescent="0.3">
      <c r="A431" s="134">
        <v>25258</v>
      </c>
      <c r="B431" s="138" t="s">
        <v>1164</v>
      </c>
      <c r="C431" s="136" t="s">
        <v>1165</v>
      </c>
      <c r="D431" s="181">
        <v>8.7497340000000001</v>
      </c>
      <c r="E431" s="185">
        <v>1.1000000000000001</v>
      </c>
    </row>
    <row r="432" spans="1:5" x14ac:dyDescent="0.3">
      <c r="A432" s="134">
        <v>25270</v>
      </c>
      <c r="B432" s="138" t="s">
        <v>1166</v>
      </c>
      <c r="C432" s="136" t="s">
        <v>1167</v>
      </c>
      <c r="D432" s="181">
        <v>4.2056699999999996</v>
      </c>
      <c r="E432" s="185">
        <v>1.1000000000000001</v>
      </c>
    </row>
    <row r="433" spans="1:5" x14ac:dyDescent="0.3">
      <c r="A433" s="134">
        <v>25271</v>
      </c>
      <c r="B433" s="138" t="s">
        <v>1168</v>
      </c>
      <c r="C433" s="136" t="s">
        <v>1169</v>
      </c>
      <c r="D433" s="181">
        <v>4.2056699999999996</v>
      </c>
      <c r="E433" s="185">
        <v>1.1000000000000001</v>
      </c>
    </row>
    <row r="434" spans="1:5" x14ac:dyDescent="0.3">
      <c r="A434" s="134">
        <v>25272</v>
      </c>
      <c r="B434" s="138" t="s">
        <v>1170</v>
      </c>
      <c r="C434" s="136" t="s">
        <v>1171</v>
      </c>
      <c r="D434" s="181">
        <v>4.2056699999999996</v>
      </c>
      <c r="E434" s="185">
        <v>1.1000000000000001</v>
      </c>
    </row>
    <row r="435" spans="1:5" x14ac:dyDescent="0.3">
      <c r="A435" s="134"/>
      <c r="B435" s="138"/>
      <c r="C435" s="136" t="s">
        <v>1172</v>
      </c>
      <c r="D435" s="181"/>
      <c r="E435" s="185"/>
    </row>
    <row r="436" spans="1:5" x14ac:dyDescent="0.3">
      <c r="A436" s="134">
        <v>25275</v>
      </c>
      <c r="B436" s="138" t="s">
        <v>1173</v>
      </c>
      <c r="C436" s="136" t="s">
        <v>1174</v>
      </c>
      <c r="D436" s="181">
        <v>14.576373731707317</v>
      </c>
      <c r="E436" s="185">
        <v>1.1000000000000001</v>
      </c>
    </row>
    <row r="437" spans="1:5" x14ac:dyDescent="0.3">
      <c r="A437" s="134">
        <v>25295</v>
      </c>
      <c r="B437" s="138" t="s">
        <v>1175</v>
      </c>
      <c r="C437" s="136" t="s">
        <v>1176</v>
      </c>
      <c r="D437" s="181">
        <v>4.9598639999999996</v>
      </c>
      <c r="E437" s="185">
        <v>1.1000000000000001</v>
      </c>
    </row>
    <row r="438" spans="1:5" x14ac:dyDescent="0.3">
      <c r="A438" s="134">
        <v>25203</v>
      </c>
      <c r="B438" s="138" t="s">
        <v>1177</v>
      </c>
      <c r="C438" s="136" t="s">
        <v>1178</v>
      </c>
      <c r="D438" s="181">
        <v>7.2298999999999998</v>
      </c>
      <c r="E438" s="185">
        <v>1.1000000000000001</v>
      </c>
    </row>
    <row r="439" spans="1:5" ht="14.25" customHeight="1" x14ac:dyDescent="0.3">
      <c r="A439" s="134"/>
      <c r="B439" s="138"/>
      <c r="C439" s="136" t="s">
        <v>1179</v>
      </c>
      <c r="D439" s="181"/>
      <c r="E439" s="185"/>
    </row>
    <row r="440" spans="1:5" ht="28.5" x14ac:dyDescent="0.3">
      <c r="A440" s="134"/>
      <c r="B440" s="138"/>
      <c r="C440" s="136" t="s">
        <v>1180</v>
      </c>
      <c r="D440" s="181"/>
      <c r="E440" s="185"/>
    </row>
    <row r="441" spans="1:5" x14ac:dyDescent="0.3">
      <c r="A441" s="134"/>
      <c r="B441" s="138"/>
      <c r="C441" s="136" t="s">
        <v>1181</v>
      </c>
      <c r="D441" s="181"/>
      <c r="E441" s="185"/>
    </row>
    <row r="442" spans="1:5" x14ac:dyDescent="0.3">
      <c r="A442" s="134"/>
      <c r="B442" s="138"/>
      <c r="C442" s="150" t="s">
        <v>1182</v>
      </c>
      <c r="D442" s="181"/>
      <c r="E442" s="185"/>
    </row>
    <row r="443" spans="1:5" x14ac:dyDescent="0.3">
      <c r="A443" s="134"/>
      <c r="B443" s="138"/>
      <c r="C443" s="150" t="s">
        <v>1183</v>
      </c>
      <c r="D443" s="181"/>
      <c r="E443" s="185"/>
    </row>
    <row r="444" spans="1:5" ht="27.75" customHeight="1" x14ac:dyDescent="0.3">
      <c r="A444" s="134">
        <v>25701</v>
      </c>
      <c r="B444" s="138" t="s">
        <v>1184</v>
      </c>
      <c r="C444" s="136" t="s">
        <v>1185</v>
      </c>
      <c r="D444" s="181">
        <v>20.50838200233645</v>
      </c>
      <c r="E444" s="185">
        <v>1.6</v>
      </c>
    </row>
    <row r="445" spans="1:5" ht="26.25" customHeight="1" x14ac:dyDescent="0.3">
      <c r="A445" s="134">
        <v>25702</v>
      </c>
      <c r="B445" s="138" t="s">
        <v>1186</v>
      </c>
      <c r="C445" s="144" t="s">
        <v>1187</v>
      </c>
      <c r="D445" s="181">
        <v>27.74707288209607</v>
      </c>
      <c r="E445" s="185">
        <v>1.6</v>
      </c>
    </row>
    <row r="446" spans="1:5" ht="27" x14ac:dyDescent="0.3">
      <c r="A446" s="134"/>
      <c r="B446" s="138"/>
      <c r="C446" s="150" t="s">
        <v>1188</v>
      </c>
      <c r="D446" s="181"/>
      <c r="E446" s="185"/>
    </row>
    <row r="447" spans="1:5" x14ac:dyDescent="0.3">
      <c r="A447" s="134">
        <v>25312</v>
      </c>
      <c r="B447" s="138" t="s">
        <v>1189</v>
      </c>
      <c r="C447" s="136" t="s">
        <v>1190</v>
      </c>
      <c r="D447" s="181">
        <v>24.730962086486485</v>
      </c>
      <c r="E447" s="185">
        <v>1.6</v>
      </c>
    </row>
    <row r="448" spans="1:5" x14ac:dyDescent="0.3">
      <c r="A448" s="134"/>
      <c r="B448" s="138"/>
      <c r="C448" s="150" t="s">
        <v>1191</v>
      </c>
      <c r="D448" s="181"/>
      <c r="E448" s="185"/>
    </row>
    <row r="449" spans="1:5" ht="14.25" customHeight="1" x14ac:dyDescent="0.3">
      <c r="A449" s="134">
        <v>25718</v>
      </c>
      <c r="B449" s="138" t="s">
        <v>1192</v>
      </c>
      <c r="C449" s="144" t="s">
        <v>1193</v>
      </c>
      <c r="D449" s="181">
        <v>38.881500000000003</v>
      </c>
      <c r="E449" s="185">
        <v>1.6</v>
      </c>
    </row>
    <row r="450" spans="1:5" ht="27" customHeight="1" x14ac:dyDescent="0.3">
      <c r="A450" s="134">
        <v>25727</v>
      </c>
      <c r="B450" s="138" t="s">
        <v>1194</v>
      </c>
      <c r="C450" s="144" t="s">
        <v>1195</v>
      </c>
      <c r="D450" s="181">
        <v>62.650350000000003</v>
      </c>
      <c r="E450" s="185">
        <v>1.6</v>
      </c>
    </row>
    <row r="451" spans="1:5" x14ac:dyDescent="0.3">
      <c r="A451" s="135"/>
      <c r="B451" s="170"/>
      <c r="C451" s="151" t="s">
        <v>301</v>
      </c>
      <c r="D451" s="170"/>
      <c r="E451" s="186"/>
    </row>
    <row r="452" spans="1:5" x14ac:dyDescent="0.3">
      <c r="A452" s="134"/>
      <c r="B452" s="152"/>
      <c r="C452" s="153" t="s">
        <v>302</v>
      </c>
      <c r="D452" s="181"/>
      <c r="E452" s="185"/>
    </row>
    <row r="453" spans="1:5" ht="38.25" x14ac:dyDescent="0.3">
      <c r="A453" s="134"/>
      <c r="B453" s="152"/>
      <c r="C453" s="154" t="s">
        <v>1196</v>
      </c>
      <c r="D453" s="181"/>
      <c r="E453" s="185"/>
    </row>
    <row r="454" spans="1:5" ht="28.5" x14ac:dyDescent="0.3">
      <c r="A454" s="134">
        <v>26041</v>
      </c>
      <c r="B454" s="138" t="s">
        <v>1197</v>
      </c>
      <c r="C454" s="136" t="s">
        <v>1198</v>
      </c>
      <c r="D454" s="181">
        <v>16.992259154657891</v>
      </c>
      <c r="E454" s="185">
        <v>1.1000000000000001</v>
      </c>
    </row>
    <row r="455" spans="1:5" s="177" customFormat="1" ht="28.5" x14ac:dyDescent="0.3">
      <c r="A455" s="134">
        <v>26045</v>
      </c>
      <c r="B455" s="138" t="s">
        <v>1199</v>
      </c>
      <c r="C455" s="136" t="s">
        <v>1200</v>
      </c>
      <c r="D455" s="181">
        <v>16.992259154657891</v>
      </c>
      <c r="E455" s="185">
        <v>1.1000000000000001</v>
      </c>
    </row>
    <row r="456" spans="1:5" s="177" customFormat="1" ht="28.5" x14ac:dyDescent="0.3">
      <c r="A456" s="134">
        <v>26047</v>
      </c>
      <c r="B456" s="138" t="s">
        <v>1201</v>
      </c>
      <c r="C456" s="136" t="s">
        <v>1202</v>
      </c>
      <c r="D456" s="181">
        <v>16.992259154657891</v>
      </c>
      <c r="E456" s="185">
        <v>1.1000000000000001</v>
      </c>
    </row>
    <row r="457" spans="1:5" s="177" customFormat="1" ht="28.5" x14ac:dyDescent="0.3">
      <c r="A457" s="134">
        <v>26056</v>
      </c>
      <c r="B457" s="138" t="s">
        <v>1203</v>
      </c>
      <c r="C457" s="136" t="s">
        <v>1204</v>
      </c>
      <c r="D457" s="181">
        <v>16.820465793211344</v>
      </c>
      <c r="E457" s="185">
        <v>1.1000000000000001</v>
      </c>
    </row>
    <row r="458" spans="1:5" x14ac:dyDescent="0.3">
      <c r="A458" s="134">
        <v>26074</v>
      </c>
      <c r="B458" s="138" t="s">
        <v>1205</v>
      </c>
      <c r="C458" s="136" t="s">
        <v>1206</v>
      </c>
      <c r="D458" s="181">
        <v>10.183425</v>
      </c>
      <c r="E458" s="185">
        <v>1.1000000000000001</v>
      </c>
    </row>
    <row r="459" spans="1:5" x14ac:dyDescent="0.3">
      <c r="A459" s="134">
        <v>26073</v>
      </c>
      <c r="B459" s="138" t="s">
        <v>1207</v>
      </c>
      <c r="C459" s="136" t="s">
        <v>1208</v>
      </c>
      <c r="D459" s="181">
        <v>20.366849999999999</v>
      </c>
      <c r="E459" s="185">
        <v>1.1000000000000001</v>
      </c>
    </row>
    <row r="460" spans="1:5" x14ac:dyDescent="0.3">
      <c r="A460" s="134">
        <v>26075</v>
      </c>
      <c r="B460" s="138" t="s">
        <v>1209</v>
      </c>
      <c r="C460" s="136" t="s">
        <v>1210</v>
      </c>
      <c r="D460" s="181">
        <v>10.183425</v>
      </c>
      <c r="E460" s="185">
        <v>1.1000000000000001</v>
      </c>
    </row>
    <row r="461" spans="1:5" x14ac:dyDescent="0.3">
      <c r="A461" s="134">
        <v>26076</v>
      </c>
      <c r="B461" s="138" t="s">
        <v>1211</v>
      </c>
      <c r="C461" s="136" t="s">
        <v>1212</v>
      </c>
      <c r="D461" s="181">
        <v>19.818750000000001</v>
      </c>
      <c r="E461" s="185">
        <v>1.1000000000000001</v>
      </c>
    </row>
    <row r="462" spans="1:5" x14ac:dyDescent="0.3">
      <c r="A462" s="134">
        <v>26419</v>
      </c>
      <c r="B462" s="138" t="s">
        <v>1213</v>
      </c>
      <c r="C462" s="144" t="s">
        <v>1214</v>
      </c>
      <c r="D462" s="181">
        <v>27.870150000000002</v>
      </c>
      <c r="E462" s="185">
        <v>1.1000000000000001</v>
      </c>
    </row>
    <row r="463" spans="1:5" x14ac:dyDescent="0.3">
      <c r="A463" s="134">
        <v>26421</v>
      </c>
      <c r="B463" s="138" t="s">
        <v>1215</v>
      </c>
      <c r="C463" s="144" t="s">
        <v>1216</v>
      </c>
      <c r="D463" s="181">
        <v>27.870150000000002</v>
      </c>
      <c r="E463" s="185">
        <v>1.1000000000000001</v>
      </c>
    </row>
    <row r="464" spans="1:5" x14ac:dyDescent="0.3">
      <c r="A464" s="134">
        <v>26423</v>
      </c>
      <c r="B464" s="138" t="s">
        <v>1217</v>
      </c>
      <c r="C464" s="144" t="s">
        <v>1218</v>
      </c>
      <c r="D464" s="181">
        <v>19.667549999999999</v>
      </c>
      <c r="E464" s="185">
        <v>1.1000000000000001</v>
      </c>
    </row>
    <row r="465" spans="1:5" x14ac:dyDescent="0.3">
      <c r="A465" s="134">
        <v>26425</v>
      </c>
      <c r="B465" s="138" t="s">
        <v>1219</v>
      </c>
      <c r="C465" s="144" t="s">
        <v>1220</v>
      </c>
      <c r="D465" s="181">
        <v>19.667549999999999</v>
      </c>
      <c r="E465" s="185">
        <v>1.1000000000000001</v>
      </c>
    </row>
    <row r="466" spans="1:5" x14ac:dyDescent="0.3">
      <c r="A466" s="134">
        <v>26441</v>
      </c>
      <c r="B466" s="138" t="s">
        <v>1221</v>
      </c>
      <c r="C466" s="136" t="s">
        <v>1222</v>
      </c>
      <c r="D466" s="181">
        <v>9.6542250000000003</v>
      </c>
      <c r="E466" s="185">
        <v>1.1000000000000001</v>
      </c>
    </row>
    <row r="467" spans="1:5" x14ac:dyDescent="0.3">
      <c r="A467" s="134">
        <v>26442</v>
      </c>
      <c r="B467" s="138" t="s">
        <v>1223</v>
      </c>
      <c r="C467" s="136" t="s">
        <v>1224</v>
      </c>
      <c r="D467" s="181">
        <v>19.308450000000001</v>
      </c>
      <c r="E467" s="185">
        <v>1.1000000000000001</v>
      </c>
    </row>
    <row r="468" spans="1:5" x14ac:dyDescent="0.3">
      <c r="A468" s="134">
        <v>26443</v>
      </c>
      <c r="B468" s="138" t="s">
        <v>1225</v>
      </c>
      <c r="C468" s="136" t="s">
        <v>1226</v>
      </c>
      <c r="D468" s="181">
        <v>9.6542250000000003</v>
      </c>
      <c r="E468" s="185">
        <v>1.1000000000000001</v>
      </c>
    </row>
    <row r="469" spans="1:5" x14ac:dyDescent="0.3">
      <c r="A469" s="134">
        <v>26445</v>
      </c>
      <c r="B469" s="138" t="s">
        <v>1227</v>
      </c>
      <c r="C469" s="136" t="s">
        <v>1228</v>
      </c>
      <c r="D469" s="181">
        <v>9.6542250000000003</v>
      </c>
      <c r="E469" s="185">
        <v>1.1000000000000001</v>
      </c>
    </row>
    <row r="470" spans="1:5" x14ac:dyDescent="0.3">
      <c r="A470" s="134">
        <v>26446</v>
      </c>
      <c r="B470" s="138" t="s">
        <v>1229</v>
      </c>
      <c r="C470" s="136" t="s">
        <v>1230</v>
      </c>
      <c r="D470" s="181">
        <v>19.308450000000001</v>
      </c>
      <c r="E470" s="185">
        <v>1.1000000000000001</v>
      </c>
    </row>
    <row r="471" spans="1:5" x14ac:dyDescent="0.3">
      <c r="A471" s="134">
        <v>26447</v>
      </c>
      <c r="B471" s="138" t="s">
        <v>1231</v>
      </c>
      <c r="C471" s="136" t="s">
        <v>1232</v>
      </c>
      <c r="D471" s="181">
        <v>9.6542250000000003</v>
      </c>
      <c r="E471" s="185">
        <v>1.1000000000000001</v>
      </c>
    </row>
    <row r="472" spans="1:5" x14ac:dyDescent="0.3">
      <c r="A472" s="134">
        <v>26457</v>
      </c>
      <c r="B472" s="138" t="s">
        <v>1233</v>
      </c>
      <c r="C472" s="136" t="s">
        <v>1234</v>
      </c>
      <c r="D472" s="181">
        <v>31.322214823529407</v>
      </c>
      <c r="E472" s="185">
        <v>1.1000000000000001</v>
      </c>
    </row>
    <row r="473" spans="1:5" x14ac:dyDescent="0.3">
      <c r="A473" s="134">
        <v>26459</v>
      </c>
      <c r="B473" s="138" t="s">
        <v>1235</v>
      </c>
      <c r="C473" s="136" t="s">
        <v>1236</v>
      </c>
      <c r="D473" s="181">
        <v>12.925639225197541</v>
      </c>
      <c r="E473" s="185">
        <v>1.1000000000000001</v>
      </c>
    </row>
    <row r="474" spans="1:5" x14ac:dyDescent="0.3">
      <c r="A474" s="134">
        <v>26460</v>
      </c>
      <c r="B474" s="138" t="s">
        <v>1237</v>
      </c>
      <c r="C474" s="136" t="s">
        <v>1238</v>
      </c>
      <c r="D474" s="181">
        <v>25.851278450395082</v>
      </c>
      <c r="E474" s="185">
        <v>1.1000000000000001</v>
      </c>
    </row>
    <row r="475" spans="1:5" x14ac:dyDescent="0.3">
      <c r="A475" s="134">
        <v>26461</v>
      </c>
      <c r="B475" s="138" t="s">
        <v>1239</v>
      </c>
      <c r="C475" s="136" t="s">
        <v>1240</v>
      </c>
      <c r="D475" s="181">
        <v>12.925639225197541</v>
      </c>
      <c r="E475" s="185">
        <v>1.1000000000000001</v>
      </c>
    </row>
    <row r="476" spans="1:5" ht="12.75" customHeight="1" x14ac:dyDescent="0.3">
      <c r="A476" s="134">
        <v>26479</v>
      </c>
      <c r="B476" s="138" t="s">
        <v>1241</v>
      </c>
      <c r="C476" s="136" t="s">
        <v>1242</v>
      </c>
      <c r="D476" s="181">
        <v>17.108900000000002</v>
      </c>
      <c r="E476" s="185">
        <v>1.1000000000000001</v>
      </c>
    </row>
    <row r="477" spans="1:5" ht="15.75" customHeight="1" x14ac:dyDescent="0.3">
      <c r="A477" s="134">
        <v>26481</v>
      </c>
      <c r="B477" s="138" t="s">
        <v>1243</v>
      </c>
      <c r="C477" s="136" t="s">
        <v>1244</v>
      </c>
      <c r="D477" s="181">
        <v>17.108900000000002</v>
      </c>
      <c r="E477" s="185">
        <v>1.1000000000000001</v>
      </c>
    </row>
    <row r="478" spans="1:5" ht="15.75" customHeight="1" x14ac:dyDescent="0.3">
      <c r="A478" s="134">
        <v>26483</v>
      </c>
      <c r="B478" s="138" t="s">
        <v>1245</v>
      </c>
      <c r="C478" s="136" t="s">
        <v>1246</v>
      </c>
      <c r="D478" s="181">
        <v>9.3941047245790568</v>
      </c>
      <c r="E478" s="185">
        <v>1.1000000000000001</v>
      </c>
    </row>
    <row r="479" spans="1:5" x14ac:dyDescent="0.3">
      <c r="A479" s="134">
        <v>26484</v>
      </c>
      <c r="B479" s="138" t="s">
        <v>1247</v>
      </c>
      <c r="C479" s="136" t="s">
        <v>1248</v>
      </c>
      <c r="D479" s="181">
        <v>18.623199028755128</v>
      </c>
      <c r="E479" s="185">
        <v>1.1000000000000001</v>
      </c>
    </row>
    <row r="480" spans="1:5" ht="15" customHeight="1" x14ac:dyDescent="0.3">
      <c r="A480" s="134">
        <v>26485</v>
      </c>
      <c r="B480" s="138" t="s">
        <v>1249</v>
      </c>
      <c r="C480" s="136" t="s">
        <v>1250</v>
      </c>
      <c r="D480" s="181">
        <v>9.2290943041760727</v>
      </c>
      <c r="E480" s="185">
        <v>1.1000000000000001</v>
      </c>
    </row>
    <row r="481" spans="1:5" ht="15" customHeight="1" x14ac:dyDescent="0.3">
      <c r="A481" s="134">
        <v>26486</v>
      </c>
      <c r="B481" s="138" t="s">
        <v>1251</v>
      </c>
      <c r="C481" s="136" t="s">
        <v>1252</v>
      </c>
      <c r="D481" s="181">
        <v>10.945599999999999</v>
      </c>
      <c r="E481" s="185">
        <v>1.1000000000000001</v>
      </c>
    </row>
    <row r="482" spans="1:5" ht="15" customHeight="1" x14ac:dyDescent="0.3">
      <c r="A482" s="134">
        <v>26489</v>
      </c>
      <c r="B482" s="138" t="s">
        <v>1253</v>
      </c>
      <c r="C482" s="136" t="s">
        <v>1254</v>
      </c>
      <c r="D482" s="181">
        <v>9.8731568433718451</v>
      </c>
      <c r="E482" s="185">
        <v>1.1000000000000001</v>
      </c>
    </row>
    <row r="483" spans="1:5" x14ac:dyDescent="0.3">
      <c r="A483" s="134">
        <v>26490</v>
      </c>
      <c r="B483" s="138" t="s">
        <v>1255</v>
      </c>
      <c r="C483" s="136" t="s">
        <v>1256</v>
      </c>
      <c r="D483" s="181">
        <v>19.74631368674369</v>
      </c>
      <c r="E483" s="185">
        <v>1.1000000000000001</v>
      </c>
    </row>
    <row r="484" spans="1:5" ht="15" customHeight="1" x14ac:dyDescent="0.3">
      <c r="A484" s="134">
        <v>26491</v>
      </c>
      <c r="B484" s="138" t="s">
        <v>1257</v>
      </c>
      <c r="C484" s="136" t="s">
        <v>1258</v>
      </c>
      <c r="D484" s="181">
        <v>9.8731568433718451</v>
      </c>
      <c r="E484" s="185">
        <v>1.1000000000000001</v>
      </c>
    </row>
    <row r="485" spans="1:5" ht="15" customHeight="1" x14ac:dyDescent="0.3">
      <c r="A485" s="134">
        <v>26487</v>
      </c>
      <c r="B485" s="138" t="s">
        <v>1259</v>
      </c>
      <c r="C485" s="136" t="s">
        <v>1260</v>
      </c>
      <c r="D485" s="181">
        <v>21.579613686743691</v>
      </c>
      <c r="E485" s="185">
        <v>1.1000000000000001</v>
      </c>
    </row>
    <row r="486" spans="1:5" x14ac:dyDescent="0.3">
      <c r="A486" s="134">
        <v>26170</v>
      </c>
      <c r="B486" s="138" t="s">
        <v>1261</v>
      </c>
      <c r="C486" s="136" t="s">
        <v>1262</v>
      </c>
      <c r="D486" s="181">
        <v>8.7903000000000002</v>
      </c>
      <c r="E486" s="185">
        <v>1.1000000000000001</v>
      </c>
    </row>
    <row r="487" spans="1:5" ht="15.75" customHeight="1" x14ac:dyDescent="0.3">
      <c r="A487" s="134">
        <v>26040</v>
      </c>
      <c r="B487" s="138" t="s">
        <v>1263</v>
      </c>
      <c r="C487" s="136" t="s">
        <v>1264</v>
      </c>
      <c r="D487" s="181">
        <v>15.905609999999999</v>
      </c>
      <c r="E487" s="185">
        <v>1.1000000000000001</v>
      </c>
    </row>
    <row r="488" spans="1:5" x14ac:dyDescent="0.3">
      <c r="A488" s="134">
        <v>26028</v>
      </c>
      <c r="B488" s="138" t="s">
        <v>1265</v>
      </c>
      <c r="C488" s="136" t="s">
        <v>1266</v>
      </c>
      <c r="D488" s="181">
        <v>16.9955</v>
      </c>
      <c r="E488" s="185">
        <v>1.1000000000000001</v>
      </c>
    </row>
    <row r="489" spans="1:5" x14ac:dyDescent="0.3">
      <c r="A489" s="134">
        <v>26019</v>
      </c>
      <c r="B489" s="138" t="s">
        <v>1267</v>
      </c>
      <c r="C489" s="136" t="s">
        <v>1268</v>
      </c>
      <c r="D489" s="181">
        <v>15.764280000000001</v>
      </c>
      <c r="E489" s="185">
        <v>1.1000000000000001</v>
      </c>
    </row>
    <row r="490" spans="1:5" x14ac:dyDescent="0.3">
      <c r="A490" s="134">
        <v>26020</v>
      </c>
      <c r="B490" s="138" t="s">
        <v>1269</v>
      </c>
      <c r="C490" s="136" t="s">
        <v>1270</v>
      </c>
      <c r="D490" s="181">
        <v>6.6150000000000002</v>
      </c>
      <c r="E490" s="185">
        <v>1.1000000000000001</v>
      </c>
    </row>
    <row r="491" spans="1:5" x14ac:dyDescent="0.3">
      <c r="A491" s="134">
        <v>26022</v>
      </c>
      <c r="B491" s="138" t="s">
        <v>1271</v>
      </c>
      <c r="C491" s="136" t="s">
        <v>1272</v>
      </c>
      <c r="D491" s="181">
        <v>16.482479999999999</v>
      </c>
      <c r="E491" s="185">
        <v>1.1000000000000001</v>
      </c>
    </row>
    <row r="492" spans="1:5" ht="28.5" x14ac:dyDescent="0.3">
      <c r="A492" s="134">
        <v>26010</v>
      </c>
      <c r="B492" s="138" t="s">
        <v>1273</v>
      </c>
      <c r="C492" s="136" t="s">
        <v>1274</v>
      </c>
      <c r="D492" s="181">
        <v>15.621987527555042</v>
      </c>
      <c r="E492" s="185">
        <v>1.1000000000000001</v>
      </c>
    </row>
    <row r="493" spans="1:5" x14ac:dyDescent="0.3">
      <c r="A493" s="134">
        <v>26012</v>
      </c>
      <c r="B493" s="138" t="s">
        <v>1275</v>
      </c>
      <c r="C493" s="136" t="s">
        <v>1276</v>
      </c>
      <c r="D493" s="181">
        <v>16.066680000000002</v>
      </c>
      <c r="E493" s="185">
        <v>1.1000000000000001</v>
      </c>
    </row>
    <row r="494" spans="1:5" x14ac:dyDescent="0.3">
      <c r="A494" s="134">
        <v>26013</v>
      </c>
      <c r="B494" s="138" t="s">
        <v>1277</v>
      </c>
      <c r="C494" s="136" t="s">
        <v>1278</v>
      </c>
      <c r="D494" s="181">
        <v>16.255680000000002</v>
      </c>
      <c r="E494" s="185">
        <v>1.1000000000000001</v>
      </c>
    </row>
    <row r="495" spans="1:5" ht="15.75" customHeight="1" x14ac:dyDescent="0.3">
      <c r="A495" s="134">
        <v>26025</v>
      </c>
      <c r="B495" s="138" t="s">
        <v>1279</v>
      </c>
      <c r="C495" s="136" t="s">
        <v>1280</v>
      </c>
      <c r="D495" s="181">
        <v>12.55792199280201</v>
      </c>
      <c r="E495" s="185">
        <v>1.1000000000000001</v>
      </c>
    </row>
    <row r="496" spans="1:5" ht="15" customHeight="1" x14ac:dyDescent="0.3">
      <c r="A496" s="134">
        <v>26059</v>
      </c>
      <c r="B496" s="138" t="s">
        <v>1281</v>
      </c>
      <c r="C496" s="136" t="s">
        <v>1282</v>
      </c>
      <c r="D496" s="181">
        <v>3.1319819999999998</v>
      </c>
      <c r="E496" s="185">
        <v>1.1000000000000001</v>
      </c>
    </row>
    <row r="497" spans="1:5" x14ac:dyDescent="0.3">
      <c r="A497" s="134">
        <v>26271</v>
      </c>
      <c r="B497" s="138" t="s">
        <v>1283</v>
      </c>
      <c r="C497" s="136" t="s">
        <v>1284</v>
      </c>
      <c r="D497" s="181">
        <v>1.5092909999999999</v>
      </c>
      <c r="E497" s="185">
        <v>0.95</v>
      </c>
    </row>
    <row r="498" spans="1:5" x14ac:dyDescent="0.3">
      <c r="A498" s="134">
        <v>26265</v>
      </c>
      <c r="B498" s="138" t="s">
        <v>1285</v>
      </c>
      <c r="C498" s="136" t="s">
        <v>1286</v>
      </c>
      <c r="D498" s="181">
        <v>3.1331350727928435</v>
      </c>
      <c r="E498" s="185">
        <v>1.1000000000000001</v>
      </c>
    </row>
    <row r="499" spans="1:5" ht="27.75" customHeight="1" x14ac:dyDescent="0.3">
      <c r="A499" s="134">
        <v>26268</v>
      </c>
      <c r="B499" s="138" t="s">
        <v>1287</v>
      </c>
      <c r="C499" s="136" t="s">
        <v>1288</v>
      </c>
      <c r="D499" s="181">
        <v>2.1049443778537977</v>
      </c>
      <c r="E499" s="185">
        <v>0.9</v>
      </c>
    </row>
    <row r="500" spans="1:5" x14ac:dyDescent="0.3">
      <c r="A500" s="134">
        <v>26276</v>
      </c>
      <c r="B500" s="138" t="s">
        <v>1289</v>
      </c>
      <c r="C500" s="136" t="s">
        <v>303</v>
      </c>
      <c r="D500" s="181">
        <v>1.984</v>
      </c>
      <c r="E500" s="185">
        <v>0.5</v>
      </c>
    </row>
    <row r="501" spans="1:5" x14ac:dyDescent="0.3">
      <c r="A501" s="134">
        <v>26298</v>
      </c>
      <c r="B501" s="138" t="s">
        <v>1290</v>
      </c>
      <c r="C501" s="136" t="s">
        <v>1291</v>
      </c>
      <c r="D501" s="181">
        <v>2.6135865000000003</v>
      </c>
      <c r="E501" s="185">
        <v>1.1000000000000001</v>
      </c>
    </row>
    <row r="502" spans="1:5" x14ac:dyDescent="0.3">
      <c r="A502" s="134"/>
      <c r="B502" s="138"/>
      <c r="C502" s="150" t="s">
        <v>1292</v>
      </c>
      <c r="D502" s="181"/>
      <c r="E502" s="185"/>
    </row>
    <row r="503" spans="1:5" x14ac:dyDescent="0.3">
      <c r="A503" s="134">
        <v>26212</v>
      </c>
      <c r="B503" s="138" t="s">
        <v>1293</v>
      </c>
      <c r="C503" s="136" t="s">
        <v>1294</v>
      </c>
      <c r="D503" s="181">
        <v>29.149679999999996</v>
      </c>
      <c r="E503" s="185">
        <v>1.1000000000000001</v>
      </c>
    </row>
    <row r="504" spans="1:5" ht="28.5" x14ac:dyDescent="0.3">
      <c r="A504" s="134">
        <v>26072</v>
      </c>
      <c r="B504" s="138" t="s">
        <v>1295</v>
      </c>
      <c r="C504" s="136" t="s">
        <v>1296</v>
      </c>
      <c r="D504" s="181">
        <v>18.413</v>
      </c>
      <c r="E504" s="185">
        <v>1.1000000000000001</v>
      </c>
    </row>
    <row r="505" spans="1:5" ht="14.25" customHeight="1" x14ac:dyDescent="0.3">
      <c r="A505" s="134">
        <v>26071</v>
      </c>
      <c r="B505" s="138" t="s">
        <v>1297</v>
      </c>
      <c r="C505" s="136" t="s">
        <v>1298</v>
      </c>
      <c r="D505" s="181">
        <v>10.509962951127822</v>
      </c>
      <c r="E505" s="185">
        <v>1.1000000000000001</v>
      </c>
    </row>
    <row r="506" spans="1:5" ht="15" customHeight="1" x14ac:dyDescent="0.3">
      <c r="A506" s="134">
        <v>26066</v>
      </c>
      <c r="B506" s="138" t="s">
        <v>1299</v>
      </c>
      <c r="C506" s="136" t="s">
        <v>1300</v>
      </c>
      <c r="D506" s="181">
        <v>13.35411</v>
      </c>
      <c r="E506" s="185">
        <v>1.1000000000000001</v>
      </c>
    </row>
    <row r="507" spans="1:5" x14ac:dyDescent="0.3">
      <c r="A507" s="134">
        <v>26069</v>
      </c>
      <c r="B507" s="138" t="s">
        <v>1301</v>
      </c>
      <c r="C507" s="136" t="s">
        <v>1302</v>
      </c>
      <c r="D507" s="181">
        <v>12.44572549332762</v>
      </c>
      <c r="E507" s="185">
        <v>1.1000000000000001</v>
      </c>
    </row>
    <row r="508" spans="1:5" x14ac:dyDescent="0.3">
      <c r="A508" s="134">
        <v>26223</v>
      </c>
      <c r="B508" s="138" t="s">
        <v>1303</v>
      </c>
      <c r="C508" s="136" t="s">
        <v>1304</v>
      </c>
      <c r="D508" s="181">
        <v>11.932807160804019</v>
      </c>
      <c r="E508" s="185">
        <v>1.1000000000000001</v>
      </c>
    </row>
    <row r="509" spans="1:5" x14ac:dyDescent="0.3">
      <c r="A509" s="134">
        <v>26060</v>
      </c>
      <c r="B509" s="138" t="s">
        <v>1305</v>
      </c>
      <c r="C509" s="136" t="s">
        <v>1306</v>
      </c>
      <c r="D509" s="181">
        <v>29.092979999999997</v>
      </c>
      <c r="E509" s="185">
        <v>1.1000000000000001</v>
      </c>
    </row>
    <row r="510" spans="1:5" x14ac:dyDescent="0.3">
      <c r="A510" s="134">
        <v>26061</v>
      </c>
      <c r="B510" s="138" t="s">
        <v>1307</v>
      </c>
      <c r="C510" s="136" t="s">
        <v>1308</v>
      </c>
      <c r="D510" s="181">
        <v>29.092979999999997</v>
      </c>
      <c r="E510" s="185">
        <v>1.1000000000000001</v>
      </c>
    </row>
    <row r="511" spans="1:5" ht="28.5" x14ac:dyDescent="0.3">
      <c r="A511" s="134">
        <v>26062</v>
      </c>
      <c r="B511" s="138" t="s">
        <v>1309</v>
      </c>
      <c r="C511" s="136" t="s">
        <v>1310</v>
      </c>
      <c r="D511" s="181">
        <v>29.522585333333332</v>
      </c>
      <c r="E511" s="185">
        <v>1.1000000000000001</v>
      </c>
    </row>
    <row r="512" spans="1:5" x14ac:dyDescent="0.3">
      <c r="A512" s="134"/>
      <c r="B512" s="138"/>
      <c r="C512" s="150" t="s">
        <v>1311</v>
      </c>
      <c r="D512" s="181"/>
      <c r="E512" s="185"/>
    </row>
    <row r="513" spans="1:5" ht="28.5" x14ac:dyDescent="0.3">
      <c r="A513" s="134">
        <v>26505</v>
      </c>
      <c r="B513" s="138" t="s">
        <v>1312</v>
      </c>
      <c r="C513" s="136" t="s">
        <v>1313</v>
      </c>
      <c r="D513" s="181">
        <v>7.1927729999999999</v>
      </c>
      <c r="E513" s="185">
        <v>1.1000000000000001</v>
      </c>
    </row>
    <row r="514" spans="1:5" ht="28.5" x14ac:dyDescent="0.3">
      <c r="A514" s="134">
        <v>26178</v>
      </c>
      <c r="B514" s="138" t="s">
        <v>1314</v>
      </c>
      <c r="C514" s="136" t="s">
        <v>1315</v>
      </c>
      <c r="D514" s="181">
        <v>18.734300000000001</v>
      </c>
      <c r="E514" s="185">
        <v>1.1000000000000001</v>
      </c>
    </row>
    <row r="515" spans="1:5" ht="28.5" x14ac:dyDescent="0.3">
      <c r="A515" s="134">
        <v>26144</v>
      </c>
      <c r="B515" s="138" t="s">
        <v>1316</v>
      </c>
      <c r="C515" s="136" t="s">
        <v>1317</v>
      </c>
      <c r="D515" s="181">
        <v>1.812594</v>
      </c>
      <c r="E515" s="185">
        <v>1.1000000000000001</v>
      </c>
    </row>
    <row r="516" spans="1:5" ht="28.5" x14ac:dyDescent="0.3">
      <c r="A516" s="134">
        <v>26110</v>
      </c>
      <c r="B516" s="138" t="s">
        <v>1318</v>
      </c>
      <c r="C516" s="136" t="s">
        <v>1319</v>
      </c>
      <c r="D516" s="181">
        <v>5.1326730000000005</v>
      </c>
      <c r="E516" s="185">
        <v>1.1000000000000001</v>
      </c>
    </row>
    <row r="517" spans="1:5" ht="28.5" x14ac:dyDescent="0.3">
      <c r="A517" s="134">
        <v>26125</v>
      </c>
      <c r="B517" s="138" t="s">
        <v>1320</v>
      </c>
      <c r="C517" s="136" t="s">
        <v>1321</v>
      </c>
      <c r="D517" s="181">
        <v>5.6240729999999992</v>
      </c>
      <c r="E517" s="185">
        <v>1.1000000000000001</v>
      </c>
    </row>
    <row r="518" spans="1:5" ht="28.5" x14ac:dyDescent="0.3">
      <c r="A518" s="134">
        <v>26111</v>
      </c>
      <c r="B518" s="138" t="s">
        <v>1322</v>
      </c>
      <c r="C518" s="136" t="s">
        <v>1323</v>
      </c>
      <c r="D518" s="181">
        <v>3.7727759999999999</v>
      </c>
      <c r="E518" s="185">
        <v>1.1000000000000001</v>
      </c>
    </row>
    <row r="519" spans="1:5" ht="28.5" x14ac:dyDescent="0.3">
      <c r="A519" s="134">
        <v>26135</v>
      </c>
      <c r="B519" s="138" t="s">
        <v>1324</v>
      </c>
      <c r="C519" s="136" t="s">
        <v>1325</v>
      </c>
      <c r="D519" s="181">
        <v>4.4900729999999998</v>
      </c>
      <c r="E519" s="185">
        <v>1.1000000000000001</v>
      </c>
    </row>
    <row r="520" spans="1:5" ht="28.5" x14ac:dyDescent="0.3">
      <c r="A520" s="134">
        <v>26134</v>
      </c>
      <c r="B520" s="138" t="s">
        <v>1326</v>
      </c>
      <c r="C520" s="136" t="s">
        <v>1327</v>
      </c>
      <c r="D520" s="181">
        <v>3.9804287672173562</v>
      </c>
      <c r="E520" s="185">
        <v>1.1000000000000001</v>
      </c>
    </row>
    <row r="521" spans="1:5" ht="28.5" x14ac:dyDescent="0.3">
      <c r="A521" s="134">
        <v>26275</v>
      </c>
      <c r="B521" s="138" t="s">
        <v>1328</v>
      </c>
      <c r="C521" s="136" t="s">
        <v>1329</v>
      </c>
      <c r="D521" s="181">
        <v>6.6626700000000003</v>
      </c>
      <c r="E521" s="185">
        <v>1.1000000000000001</v>
      </c>
    </row>
    <row r="522" spans="1:5" ht="28.5" x14ac:dyDescent="0.3">
      <c r="A522" s="134">
        <v>26511</v>
      </c>
      <c r="B522" s="138" t="s">
        <v>1330</v>
      </c>
      <c r="C522" s="136" t="s">
        <v>1331</v>
      </c>
      <c r="D522" s="181">
        <v>4.4900729999999998</v>
      </c>
      <c r="E522" s="185">
        <v>1.1000000000000001</v>
      </c>
    </row>
    <row r="523" spans="1:5" x14ac:dyDescent="0.3">
      <c r="A523" s="134">
        <v>26116</v>
      </c>
      <c r="B523" s="138" t="s">
        <v>1332</v>
      </c>
      <c r="C523" s="136" t="s">
        <v>1333</v>
      </c>
      <c r="D523" s="181">
        <v>5.3972730000000002</v>
      </c>
      <c r="E523" s="185">
        <v>1.1000000000000001</v>
      </c>
    </row>
    <row r="524" spans="1:5" ht="42.75" x14ac:dyDescent="0.3">
      <c r="A524" s="134">
        <v>26117</v>
      </c>
      <c r="B524" s="138" t="s">
        <v>1334</v>
      </c>
      <c r="C524" s="136" t="s">
        <v>1335</v>
      </c>
      <c r="D524" s="181">
        <v>13.845509999999999</v>
      </c>
      <c r="E524" s="185">
        <v>1.1000000000000001</v>
      </c>
    </row>
    <row r="525" spans="1:5" ht="28.5" x14ac:dyDescent="0.3">
      <c r="A525" s="134">
        <v>26120</v>
      </c>
      <c r="B525" s="138" t="s">
        <v>1336</v>
      </c>
      <c r="C525" s="136" t="s">
        <v>1337</v>
      </c>
      <c r="D525" s="181">
        <v>6.077672999999999</v>
      </c>
      <c r="E525" s="185">
        <v>1.1000000000000001</v>
      </c>
    </row>
    <row r="526" spans="1:5" ht="28.5" x14ac:dyDescent="0.3">
      <c r="A526" s="134">
        <v>26127</v>
      </c>
      <c r="B526" s="138" t="s">
        <v>1338</v>
      </c>
      <c r="C526" s="136" t="s">
        <v>1339</v>
      </c>
      <c r="D526" s="181">
        <v>10.038016799999999</v>
      </c>
      <c r="E526" s="185">
        <v>1.1000000000000001</v>
      </c>
    </row>
    <row r="527" spans="1:5" ht="28.5" x14ac:dyDescent="0.3">
      <c r="A527" s="134">
        <v>26124</v>
      </c>
      <c r="B527" s="138" t="s">
        <v>1340</v>
      </c>
      <c r="C527" s="136" t="s">
        <v>1341</v>
      </c>
      <c r="D527" s="181">
        <v>8.8851168000000005</v>
      </c>
      <c r="E527" s="185">
        <v>1.1000000000000001</v>
      </c>
    </row>
    <row r="528" spans="1:5" ht="28.5" x14ac:dyDescent="0.3">
      <c r="A528" s="134">
        <v>26095</v>
      </c>
      <c r="B528" s="138" t="s">
        <v>1342</v>
      </c>
      <c r="C528" s="136" t="s">
        <v>1343</v>
      </c>
      <c r="D528" s="181">
        <v>8.4599760000000011</v>
      </c>
      <c r="E528" s="185">
        <v>1.1000000000000001</v>
      </c>
    </row>
    <row r="529" spans="1:5" ht="14.25" customHeight="1" x14ac:dyDescent="0.3">
      <c r="A529" s="134">
        <v>26173</v>
      </c>
      <c r="B529" s="138" t="s">
        <v>1344</v>
      </c>
      <c r="C529" s="136" t="s">
        <v>1345</v>
      </c>
      <c r="D529" s="181">
        <v>8.9068787449371953</v>
      </c>
      <c r="E529" s="185">
        <v>1.1000000000000001</v>
      </c>
    </row>
    <row r="530" spans="1:5" ht="28.5" x14ac:dyDescent="0.3">
      <c r="A530" s="134">
        <v>26172</v>
      </c>
      <c r="B530" s="138" t="s">
        <v>1346</v>
      </c>
      <c r="C530" s="136" t="s">
        <v>1347</v>
      </c>
      <c r="D530" s="181">
        <v>10.135378744937196</v>
      </c>
      <c r="E530" s="185">
        <v>1.1000000000000001</v>
      </c>
    </row>
    <row r="531" spans="1:5" ht="28.5" x14ac:dyDescent="0.3">
      <c r="A531" s="134">
        <v>26506</v>
      </c>
      <c r="B531" s="138" t="s">
        <v>1348</v>
      </c>
      <c r="C531" s="136" t="s">
        <v>1349</v>
      </c>
      <c r="D531" s="181">
        <v>32.763663793103447</v>
      </c>
      <c r="E531" s="185">
        <v>1.1000000000000001</v>
      </c>
    </row>
    <row r="532" spans="1:5" ht="28.5" x14ac:dyDescent="0.3">
      <c r="A532" s="134">
        <v>26502</v>
      </c>
      <c r="B532" s="138" t="s">
        <v>1350</v>
      </c>
      <c r="C532" s="136" t="s">
        <v>1351</v>
      </c>
      <c r="D532" s="181">
        <v>5.3594729999999995</v>
      </c>
      <c r="E532" s="185">
        <v>1.1000000000000001</v>
      </c>
    </row>
    <row r="533" spans="1:5" ht="28.5" x14ac:dyDescent="0.3">
      <c r="A533" s="134">
        <v>26108</v>
      </c>
      <c r="B533" s="138" t="s">
        <v>1352</v>
      </c>
      <c r="C533" s="136" t="s">
        <v>1353</v>
      </c>
      <c r="D533" s="181">
        <v>13.108409999999999</v>
      </c>
      <c r="E533" s="185">
        <v>1.1000000000000001</v>
      </c>
    </row>
    <row r="534" spans="1:5" x14ac:dyDescent="0.3">
      <c r="A534" s="134">
        <v>26177</v>
      </c>
      <c r="B534" s="138" t="s">
        <v>1354</v>
      </c>
      <c r="C534" s="136" t="s">
        <v>1355</v>
      </c>
      <c r="D534" s="181">
        <v>3.4701287672173562</v>
      </c>
      <c r="E534" s="185">
        <v>1.1000000000000001</v>
      </c>
    </row>
    <row r="535" spans="1:5" ht="28.5" x14ac:dyDescent="0.3">
      <c r="A535" s="134">
        <v>26115</v>
      </c>
      <c r="B535" s="138" t="s">
        <v>1356</v>
      </c>
      <c r="C535" s="136" t="s">
        <v>1357</v>
      </c>
      <c r="D535" s="181">
        <v>5.0408819999999999</v>
      </c>
      <c r="E535" s="185">
        <v>1.1000000000000001</v>
      </c>
    </row>
    <row r="536" spans="1:5" ht="28.5" x14ac:dyDescent="0.3">
      <c r="A536" s="134">
        <v>26498</v>
      </c>
      <c r="B536" s="138" t="s">
        <v>1358</v>
      </c>
      <c r="C536" s="136" t="s">
        <v>1359</v>
      </c>
      <c r="D536" s="181">
        <v>6.9092730000000007</v>
      </c>
      <c r="E536" s="185">
        <v>1.1000000000000001</v>
      </c>
    </row>
    <row r="537" spans="1:5" ht="28.5" x14ac:dyDescent="0.3">
      <c r="A537" s="134">
        <v>26503</v>
      </c>
      <c r="B537" s="138" t="s">
        <v>1360</v>
      </c>
      <c r="C537" s="136" t="s">
        <v>1361</v>
      </c>
      <c r="D537" s="181">
        <v>6.3800730000000003</v>
      </c>
      <c r="E537" s="185">
        <v>1.1000000000000001</v>
      </c>
    </row>
    <row r="538" spans="1:5" ht="28.5" x14ac:dyDescent="0.3">
      <c r="A538" s="134">
        <v>26504</v>
      </c>
      <c r="B538" s="138" t="s">
        <v>1362</v>
      </c>
      <c r="C538" s="136" t="s">
        <v>1363</v>
      </c>
      <c r="D538" s="181">
        <v>13.25961</v>
      </c>
      <c r="E538" s="185">
        <v>1.1000000000000001</v>
      </c>
    </row>
    <row r="539" spans="1:5" ht="42.75" x14ac:dyDescent="0.3">
      <c r="A539" s="134">
        <v>26290</v>
      </c>
      <c r="B539" s="138" t="s">
        <v>1364</v>
      </c>
      <c r="C539" s="136" t="s">
        <v>1365</v>
      </c>
      <c r="D539" s="181">
        <v>5.0165639999999998</v>
      </c>
      <c r="E539" s="185">
        <v>1.1000000000000001</v>
      </c>
    </row>
    <row r="540" spans="1:5" ht="18" x14ac:dyDescent="0.3">
      <c r="A540" s="134"/>
      <c r="B540" s="138"/>
      <c r="C540" s="139" t="s">
        <v>1366</v>
      </c>
      <c r="D540" s="181"/>
      <c r="E540" s="185"/>
    </row>
    <row r="541" spans="1:5" x14ac:dyDescent="0.3">
      <c r="A541" s="134"/>
      <c r="B541" s="138"/>
      <c r="C541" s="150" t="s">
        <v>1367</v>
      </c>
      <c r="D541" s="181"/>
      <c r="E541" s="185"/>
    </row>
    <row r="542" spans="1:5" ht="28.5" x14ac:dyDescent="0.3">
      <c r="A542" s="134">
        <v>26145</v>
      </c>
      <c r="B542" s="138" t="s">
        <v>1368</v>
      </c>
      <c r="C542" s="136" t="s">
        <v>1369</v>
      </c>
      <c r="D542" s="181">
        <v>7.4942700000000002</v>
      </c>
      <c r="E542" s="185">
        <v>1.1000000000000001</v>
      </c>
    </row>
    <row r="543" spans="1:5" ht="28.5" x14ac:dyDescent="0.3">
      <c r="A543" s="134">
        <v>26146</v>
      </c>
      <c r="B543" s="138" t="s">
        <v>1370</v>
      </c>
      <c r="C543" s="136" t="s">
        <v>1371</v>
      </c>
      <c r="D543" s="181">
        <v>10.66947</v>
      </c>
      <c r="E543" s="185">
        <v>1.1000000000000001</v>
      </c>
    </row>
    <row r="544" spans="1:5" x14ac:dyDescent="0.3">
      <c r="A544" s="134">
        <v>26139</v>
      </c>
      <c r="B544" s="138" t="s">
        <v>1372</v>
      </c>
      <c r="C544" s="136" t="s">
        <v>1373</v>
      </c>
      <c r="D544" s="181">
        <v>2.5345606844541035</v>
      </c>
      <c r="E544" s="185">
        <v>1.1000000000000001</v>
      </c>
    </row>
    <row r="545" spans="1:5" ht="28.5" x14ac:dyDescent="0.3">
      <c r="A545" s="134">
        <v>26287</v>
      </c>
      <c r="B545" s="138" t="s">
        <v>1374</v>
      </c>
      <c r="C545" s="136" t="s">
        <v>1375</v>
      </c>
      <c r="D545" s="181">
        <v>11.174351999999999</v>
      </c>
      <c r="E545" s="185">
        <v>1.1000000000000001</v>
      </c>
    </row>
    <row r="546" spans="1:5" ht="42.75" x14ac:dyDescent="0.3">
      <c r="A546" s="134">
        <v>26147</v>
      </c>
      <c r="B546" s="138" t="s">
        <v>1376</v>
      </c>
      <c r="C546" s="136" t="s">
        <v>1377</v>
      </c>
      <c r="D546" s="181">
        <v>7.4942700000000002</v>
      </c>
      <c r="E546" s="185">
        <v>1.1000000000000001</v>
      </c>
    </row>
    <row r="547" spans="1:5" ht="42.75" x14ac:dyDescent="0.3">
      <c r="A547" s="134">
        <v>26148</v>
      </c>
      <c r="B547" s="138" t="s">
        <v>1378</v>
      </c>
      <c r="C547" s="136" t="s">
        <v>1379</v>
      </c>
      <c r="D547" s="181">
        <v>13.87344</v>
      </c>
      <c r="E547" s="185">
        <v>1.1000000000000001</v>
      </c>
    </row>
    <row r="548" spans="1:5" x14ac:dyDescent="0.3">
      <c r="A548" s="134"/>
      <c r="B548" s="138"/>
      <c r="C548" s="150" t="s">
        <v>1380</v>
      </c>
      <c r="D548" s="181"/>
      <c r="E548" s="185"/>
    </row>
    <row r="549" spans="1:5" ht="28.5" x14ac:dyDescent="0.3">
      <c r="A549" s="134">
        <v>26153</v>
      </c>
      <c r="B549" s="138" t="s">
        <v>1381</v>
      </c>
      <c r="C549" s="136" t="s">
        <v>1382</v>
      </c>
      <c r="D549" s="181">
        <v>2.2274909999999997</v>
      </c>
      <c r="E549" s="185">
        <v>1.1000000000000001</v>
      </c>
    </row>
    <row r="550" spans="1:5" x14ac:dyDescent="0.3">
      <c r="A550" s="134">
        <v>26151</v>
      </c>
      <c r="B550" s="138" t="s">
        <v>1383</v>
      </c>
      <c r="C550" s="136" t="s">
        <v>1384</v>
      </c>
      <c r="D550" s="181">
        <v>4.1489700000000003</v>
      </c>
      <c r="E550" s="185">
        <v>1.1000000000000001</v>
      </c>
    </row>
    <row r="551" spans="1:5" ht="28.5" x14ac:dyDescent="0.3">
      <c r="A551" s="134">
        <v>26206</v>
      </c>
      <c r="B551" s="138" t="s">
        <v>1385</v>
      </c>
      <c r="C551" s="136" t="s">
        <v>1386</v>
      </c>
      <c r="D551" s="181">
        <v>3.7520700000000002</v>
      </c>
      <c r="E551" s="185">
        <v>0.9</v>
      </c>
    </row>
    <row r="552" spans="1:5" x14ac:dyDescent="0.3">
      <c r="A552" s="134">
        <v>26152</v>
      </c>
      <c r="B552" s="138" t="s">
        <v>1387</v>
      </c>
      <c r="C552" s="136" t="s">
        <v>1388</v>
      </c>
      <c r="D552" s="181">
        <v>4.50807</v>
      </c>
      <c r="E552" s="185">
        <v>1.1000000000000001</v>
      </c>
    </row>
    <row r="553" spans="1:5" ht="28.5" x14ac:dyDescent="0.3">
      <c r="A553" s="134">
        <v>26208</v>
      </c>
      <c r="B553" s="138" t="s">
        <v>1389</v>
      </c>
      <c r="C553" s="136" t="s">
        <v>1390</v>
      </c>
      <c r="D553" s="181">
        <v>4.6025700000000001</v>
      </c>
      <c r="E553" s="185">
        <v>1.1000000000000001</v>
      </c>
    </row>
    <row r="554" spans="1:5" x14ac:dyDescent="0.3">
      <c r="A554" s="134"/>
      <c r="B554" s="138"/>
      <c r="C554" s="150" t="s">
        <v>1391</v>
      </c>
      <c r="D554" s="181"/>
      <c r="E554" s="185"/>
    </row>
    <row r="555" spans="1:5" ht="12.75" customHeight="1" x14ac:dyDescent="0.3">
      <c r="A555" s="134">
        <v>26162</v>
      </c>
      <c r="B555" s="138" t="s">
        <v>1392</v>
      </c>
      <c r="C555" s="136" t="s">
        <v>1393</v>
      </c>
      <c r="D555" s="181">
        <v>2.9145885594031329</v>
      </c>
      <c r="E555" s="185">
        <v>1.1000000000000001</v>
      </c>
    </row>
    <row r="556" spans="1:5" ht="28.5" x14ac:dyDescent="0.3">
      <c r="A556" s="134">
        <v>26163</v>
      </c>
      <c r="B556" s="138" t="s">
        <v>1394</v>
      </c>
      <c r="C556" s="136" t="s">
        <v>1395</v>
      </c>
      <c r="D556" s="181">
        <v>5.6663880000000004</v>
      </c>
      <c r="E556" s="185">
        <v>1.1000000000000001</v>
      </c>
    </row>
    <row r="557" spans="1:5" x14ac:dyDescent="0.3">
      <c r="A557" s="134">
        <v>26165</v>
      </c>
      <c r="B557" s="138" t="s">
        <v>1396</v>
      </c>
      <c r="C557" s="136" t="s">
        <v>1397</v>
      </c>
      <c r="D557" s="181">
        <v>3.6283000000000003</v>
      </c>
      <c r="E557" s="185">
        <v>1.1000000000000001</v>
      </c>
    </row>
    <row r="558" spans="1:5" x14ac:dyDescent="0.3">
      <c r="A558" s="134"/>
      <c r="B558" s="138"/>
      <c r="C558" s="150" t="s">
        <v>1398</v>
      </c>
      <c r="D558" s="181"/>
      <c r="E558" s="185"/>
    </row>
    <row r="559" spans="1:5" x14ac:dyDescent="0.3">
      <c r="A559" s="134">
        <v>26083</v>
      </c>
      <c r="B559" s="138" t="s">
        <v>1399</v>
      </c>
      <c r="C559" s="136" t="s">
        <v>1400</v>
      </c>
      <c r="D559" s="181">
        <v>39.283000000000001</v>
      </c>
      <c r="E559" s="185">
        <v>1.1000000000000001</v>
      </c>
    </row>
    <row r="560" spans="1:5" x14ac:dyDescent="0.3">
      <c r="A560" s="134">
        <v>26084</v>
      </c>
      <c r="B560" s="138" t="s">
        <v>1401</v>
      </c>
      <c r="C560" s="136" t="s">
        <v>1402</v>
      </c>
      <c r="D560" s="181">
        <v>45.255400000000002</v>
      </c>
      <c r="E560" s="185">
        <v>1.1000000000000001</v>
      </c>
    </row>
    <row r="561" spans="1:5" x14ac:dyDescent="0.3">
      <c r="A561" s="135"/>
      <c r="B561" s="170"/>
      <c r="C561" s="151" t="s">
        <v>90</v>
      </c>
      <c r="D561" s="170"/>
      <c r="E561" s="186"/>
    </row>
    <row r="562" spans="1:5" x14ac:dyDescent="0.3">
      <c r="A562" s="134"/>
      <c r="B562" s="138"/>
      <c r="C562" s="150" t="s">
        <v>1403</v>
      </c>
      <c r="D562" s="181"/>
      <c r="E562" s="185"/>
    </row>
    <row r="563" spans="1:5" x14ac:dyDescent="0.3">
      <c r="A563" s="134">
        <v>34215</v>
      </c>
      <c r="B563" s="138" t="s">
        <v>1404</v>
      </c>
      <c r="C563" s="144" t="s">
        <v>1405</v>
      </c>
      <c r="D563" s="181">
        <v>5.3225759999999998</v>
      </c>
      <c r="E563" s="185">
        <v>1.1000000000000001</v>
      </c>
    </row>
    <row r="564" spans="1:5" x14ac:dyDescent="0.3">
      <c r="A564" s="134"/>
      <c r="B564" s="138"/>
      <c r="C564" s="150" t="s">
        <v>1406</v>
      </c>
      <c r="D564" s="181"/>
      <c r="E564" s="185"/>
    </row>
    <row r="565" spans="1:5" x14ac:dyDescent="0.3">
      <c r="A565" s="134">
        <v>34600</v>
      </c>
      <c r="B565" s="138" t="s">
        <v>1407</v>
      </c>
      <c r="C565" s="144" t="s">
        <v>1408</v>
      </c>
      <c r="D565" s="181">
        <v>32.1023</v>
      </c>
      <c r="E565" s="185">
        <v>3.4</v>
      </c>
    </row>
    <row r="566" spans="1:5" x14ac:dyDescent="0.3">
      <c r="A566" s="134">
        <v>34505</v>
      </c>
      <c r="B566" s="138" t="s">
        <v>1409</v>
      </c>
      <c r="C566" s="144" t="s">
        <v>1410</v>
      </c>
      <c r="D566" s="181">
        <v>14.978899999999999</v>
      </c>
      <c r="E566" s="185">
        <v>3.4</v>
      </c>
    </row>
    <row r="567" spans="1:5" x14ac:dyDescent="0.3">
      <c r="A567" s="135"/>
      <c r="B567" s="170"/>
      <c r="C567" s="151" t="s">
        <v>1411</v>
      </c>
      <c r="D567" s="170"/>
      <c r="E567" s="188"/>
    </row>
    <row r="568" spans="1:5" x14ac:dyDescent="0.3">
      <c r="A568" s="134">
        <v>55010</v>
      </c>
      <c r="B568" s="138" t="s">
        <v>1412</v>
      </c>
      <c r="C568" s="136" t="s">
        <v>1413</v>
      </c>
      <c r="D568" s="181">
        <v>3.698982</v>
      </c>
      <c r="E568" s="185">
        <v>1.55</v>
      </c>
    </row>
    <row r="569" spans="1:5" x14ac:dyDescent="0.3">
      <c r="A569" s="134">
        <v>55015</v>
      </c>
      <c r="B569" s="138" t="s">
        <v>1414</v>
      </c>
      <c r="C569" s="136" t="s">
        <v>141</v>
      </c>
      <c r="D569" s="181">
        <v>4.7236139999999995</v>
      </c>
      <c r="E569" s="185">
        <v>1.55</v>
      </c>
    </row>
    <row r="570" spans="1:5" ht="28.5" x14ac:dyDescent="0.3">
      <c r="A570" s="134">
        <v>55030</v>
      </c>
      <c r="B570" s="138" t="s">
        <v>1415</v>
      </c>
      <c r="C570" s="136" t="s">
        <v>1416</v>
      </c>
      <c r="D570" s="181">
        <v>8.8190760000000008</v>
      </c>
      <c r="E570" s="185">
        <v>1.55</v>
      </c>
    </row>
    <row r="571" spans="1:5" ht="28.5" x14ac:dyDescent="0.3">
      <c r="A571" s="134">
        <v>55045</v>
      </c>
      <c r="B571" s="138" t="s">
        <v>1417</v>
      </c>
      <c r="C571" s="136" t="s">
        <v>1418</v>
      </c>
      <c r="D571" s="181">
        <v>2.3206365</v>
      </c>
      <c r="E571" s="185">
        <v>1.55</v>
      </c>
    </row>
    <row r="572" spans="1:5" ht="14.25" customHeight="1" x14ac:dyDescent="0.3">
      <c r="A572" s="134">
        <v>55056</v>
      </c>
      <c r="B572" s="138" t="s">
        <v>1419</v>
      </c>
      <c r="C572" s="136" t="s">
        <v>1420</v>
      </c>
      <c r="D572" s="181">
        <v>2.4852245268081226</v>
      </c>
      <c r="E572" s="185">
        <v>1.55</v>
      </c>
    </row>
    <row r="573" spans="1:5" ht="28.5" x14ac:dyDescent="0.3">
      <c r="A573" s="134">
        <v>55057</v>
      </c>
      <c r="B573" s="138" t="s">
        <v>1421</v>
      </c>
      <c r="C573" s="136" t="s">
        <v>1422</v>
      </c>
      <c r="D573" s="181">
        <v>2.4848500000000002</v>
      </c>
      <c r="E573" s="185">
        <v>1.55</v>
      </c>
    </row>
    <row r="574" spans="1:5" ht="28.5" x14ac:dyDescent="0.3">
      <c r="A574" s="134">
        <v>55058</v>
      </c>
      <c r="B574" s="138" t="s">
        <v>1423</v>
      </c>
      <c r="C574" s="136" t="s">
        <v>1424</v>
      </c>
      <c r="D574" s="181">
        <v>2.4848500000000002</v>
      </c>
      <c r="E574" s="185">
        <v>1.55</v>
      </c>
    </row>
    <row r="575" spans="1:5" ht="15" customHeight="1" x14ac:dyDescent="0.3">
      <c r="A575" s="134">
        <v>55061</v>
      </c>
      <c r="B575" s="138" t="s">
        <v>1425</v>
      </c>
      <c r="C575" s="136" t="s">
        <v>1426</v>
      </c>
      <c r="D575" s="181">
        <v>15.01731</v>
      </c>
      <c r="E575" s="185">
        <v>1.55</v>
      </c>
    </row>
    <row r="576" spans="1:5" ht="14.25" customHeight="1" x14ac:dyDescent="0.3">
      <c r="A576" s="134">
        <v>55062</v>
      </c>
      <c r="B576" s="138" t="s">
        <v>1427</v>
      </c>
      <c r="C576" s="136" t="s">
        <v>1428</v>
      </c>
      <c r="D576" s="181">
        <v>14.885009999999999</v>
      </c>
      <c r="E576" s="185">
        <v>1.55</v>
      </c>
    </row>
    <row r="577" spans="1:5" ht="28.5" x14ac:dyDescent="0.3">
      <c r="A577" s="134">
        <v>55063</v>
      </c>
      <c r="B577" s="138" t="s">
        <v>1429</v>
      </c>
      <c r="C577" s="136" t="s">
        <v>1430</v>
      </c>
      <c r="D577" s="181">
        <v>14.885009999999999</v>
      </c>
      <c r="E577" s="185">
        <v>1.55</v>
      </c>
    </row>
    <row r="578" spans="1:5" x14ac:dyDescent="0.3">
      <c r="A578" s="134">
        <v>55137</v>
      </c>
      <c r="B578" s="138" t="s">
        <v>1431</v>
      </c>
      <c r="C578" s="136" t="s">
        <v>1432</v>
      </c>
      <c r="D578" s="181">
        <v>2.3206365</v>
      </c>
      <c r="E578" s="185">
        <v>1.55</v>
      </c>
    </row>
    <row r="579" spans="1:5" ht="14.25" customHeight="1" x14ac:dyDescent="0.3">
      <c r="A579" s="134"/>
      <c r="B579" s="138"/>
      <c r="C579" s="144" t="s">
        <v>1433</v>
      </c>
      <c r="D579" s="181"/>
      <c r="E579" s="185"/>
    </row>
    <row r="580" spans="1:5" x14ac:dyDescent="0.3">
      <c r="A580" s="134">
        <v>55065</v>
      </c>
      <c r="B580" s="138" t="s">
        <v>1434</v>
      </c>
      <c r="C580" s="136" t="s">
        <v>1435</v>
      </c>
      <c r="D580" s="181">
        <v>9.1823500285145894</v>
      </c>
      <c r="E580" s="185">
        <v>1.55</v>
      </c>
    </row>
    <row r="581" spans="1:5" x14ac:dyDescent="0.3">
      <c r="A581" s="134">
        <v>55070</v>
      </c>
      <c r="B581" s="138" t="s">
        <v>1436</v>
      </c>
      <c r="C581" s="136" t="s">
        <v>1437</v>
      </c>
      <c r="D581" s="181">
        <v>20.234676</v>
      </c>
      <c r="E581" s="185">
        <v>1.55</v>
      </c>
    </row>
    <row r="582" spans="1:5" x14ac:dyDescent="0.3">
      <c r="A582" s="135"/>
      <c r="B582" s="170"/>
      <c r="C582" s="151" t="s">
        <v>1438</v>
      </c>
      <c r="D582" s="170"/>
      <c r="E582" s="188"/>
    </row>
    <row r="583" spans="1:5" ht="63.75" x14ac:dyDescent="0.3">
      <c r="A583" s="134"/>
      <c r="B583" s="152"/>
      <c r="C583" s="155" t="s">
        <v>1439</v>
      </c>
      <c r="D583" s="181"/>
      <c r="E583" s="185"/>
    </row>
    <row r="584" spans="1:5" x14ac:dyDescent="0.3">
      <c r="A584" s="134">
        <v>28030</v>
      </c>
      <c r="B584" s="138" t="s">
        <v>1440</v>
      </c>
      <c r="C584" s="136" t="s">
        <v>1441</v>
      </c>
      <c r="D584" s="181">
        <v>53.158299999999997</v>
      </c>
      <c r="E584" s="185">
        <v>0</v>
      </c>
    </row>
    <row r="585" spans="1:5" x14ac:dyDescent="0.3">
      <c r="A585" s="134">
        <v>28070</v>
      </c>
      <c r="B585" s="138" t="s">
        <v>1442</v>
      </c>
      <c r="C585" s="136" t="s">
        <v>1443</v>
      </c>
      <c r="D585" s="181">
        <v>38.138799999999996</v>
      </c>
      <c r="E585" s="185">
        <v>0</v>
      </c>
    </row>
    <row r="586" spans="1:5" ht="15" thickBot="1" x14ac:dyDescent="0.35">
      <c r="A586" s="137">
        <v>28200</v>
      </c>
      <c r="B586" s="156" t="s">
        <v>1444</v>
      </c>
      <c r="C586" s="178" t="s">
        <v>1445</v>
      </c>
      <c r="D586" s="183">
        <v>27.151949999999999</v>
      </c>
      <c r="E586" s="187">
        <v>0</v>
      </c>
    </row>
  </sheetData>
  <mergeCells count="4">
    <mergeCell ref="A3:B3"/>
    <mergeCell ref="C3:C4"/>
    <mergeCell ref="E3:E4"/>
    <mergeCell ref="D3:D4"/>
  </mergeCells>
  <phoneticPr fontId="5" type="noConversion"/>
  <conditionalFormatting sqref="A1:A587 B2:B587 A588:B65536">
    <cfRule type="cellIs" dxfId="4" priority="10" stopIfTrue="1" operator="equal">
      <formula>#REF!</formula>
    </cfRule>
  </conditionalFormatting>
  <printOptions horizontalCentered="1"/>
  <pageMargins left="0.19685039370078741" right="0" top="0.78740157480314965" bottom="0.59055118110236227" header="0" footer="0.39370078740157483"/>
  <pageSetup paperSize="9" fitToHeight="100" orientation="portrait" r:id="rId1"/>
  <headerFooter alignWithMargins="0">
    <oddFooter>&amp;C&amp;8&amp;P/&amp;N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BF5FE-1007-4840-9517-60E64A89974F}">
  <sheetPr>
    <pageSetUpPr fitToPage="1"/>
  </sheetPr>
  <dimension ref="B5:I24"/>
  <sheetViews>
    <sheetView showGridLines="0" showRowColHeaders="0" topLeftCell="A4" workbookViewId="0">
      <selection activeCell="G22" sqref="G22"/>
    </sheetView>
  </sheetViews>
  <sheetFormatPr defaultRowHeight="12.75" x14ac:dyDescent="0.2"/>
  <sheetData>
    <row r="5" spans="2:9" ht="12.95" customHeight="1" x14ac:dyDescent="0.2">
      <c r="B5" s="477" t="s">
        <v>1446</v>
      </c>
      <c r="C5" s="477"/>
      <c r="D5" s="477"/>
      <c r="E5" s="477"/>
      <c r="F5" s="477"/>
      <c r="G5" s="477"/>
      <c r="H5" s="477"/>
      <c r="I5" s="477"/>
    </row>
    <row r="6" spans="2:9" ht="12.6" customHeight="1" x14ac:dyDescent="0.2">
      <c r="B6" s="477"/>
      <c r="C6" s="477"/>
      <c r="D6" s="477"/>
      <c r="E6" s="477"/>
      <c r="F6" s="477"/>
      <c r="G6" s="477"/>
      <c r="H6" s="477"/>
      <c r="I6" s="477"/>
    </row>
    <row r="7" spans="2:9" ht="12.6" customHeight="1" x14ac:dyDescent="0.2">
      <c r="B7" s="477"/>
      <c r="C7" s="477"/>
      <c r="D7" s="477"/>
      <c r="E7" s="477"/>
      <c r="F7" s="477"/>
      <c r="G7" s="477"/>
      <c r="H7" s="477"/>
      <c r="I7" s="477"/>
    </row>
    <row r="8" spans="2:9" ht="12.6" customHeight="1" x14ac:dyDescent="0.2">
      <c r="B8" s="477"/>
      <c r="C8" s="477"/>
      <c r="D8" s="477"/>
      <c r="E8" s="477"/>
      <c r="F8" s="477"/>
      <c r="G8" s="477"/>
      <c r="H8" s="477"/>
      <c r="I8" s="477"/>
    </row>
    <row r="9" spans="2:9" ht="12.6" customHeight="1" x14ac:dyDescent="0.2">
      <c r="B9" s="477"/>
      <c r="C9" s="477"/>
      <c r="D9" s="477"/>
      <c r="E9" s="477"/>
      <c r="F9" s="477"/>
      <c r="G9" s="477"/>
      <c r="H9" s="477"/>
      <c r="I9" s="477"/>
    </row>
    <row r="10" spans="2:9" ht="12.6" customHeight="1" x14ac:dyDescent="0.2">
      <c r="B10" s="477"/>
      <c r="C10" s="477"/>
      <c r="D10" s="477"/>
      <c r="E10" s="477"/>
      <c r="F10" s="477"/>
      <c r="G10" s="477"/>
      <c r="H10" s="477"/>
      <c r="I10" s="477"/>
    </row>
    <row r="11" spans="2:9" ht="12.6" customHeight="1" x14ac:dyDescent="0.2">
      <c r="B11" s="477"/>
      <c r="C11" s="477"/>
      <c r="D11" s="477"/>
      <c r="E11" s="477"/>
      <c r="F11" s="477"/>
      <c r="G11" s="477"/>
      <c r="H11" s="477"/>
      <c r="I11" s="477"/>
    </row>
    <row r="12" spans="2:9" ht="12.6" customHeight="1" x14ac:dyDescent="0.2">
      <c r="B12" s="477"/>
      <c r="C12" s="477"/>
      <c r="D12" s="477"/>
      <c r="E12" s="477"/>
      <c r="F12" s="477"/>
      <c r="G12" s="477"/>
      <c r="H12" s="477"/>
      <c r="I12" s="477"/>
    </row>
    <row r="13" spans="2:9" ht="12.6" customHeight="1" x14ac:dyDescent="0.2">
      <c r="B13" s="477"/>
      <c r="C13" s="477"/>
      <c r="D13" s="477"/>
      <c r="E13" s="477"/>
      <c r="F13" s="477"/>
      <c r="G13" s="477"/>
      <c r="H13" s="477"/>
      <c r="I13" s="477"/>
    </row>
    <row r="14" spans="2:9" ht="12.6" customHeight="1" x14ac:dyDescent="0.2">
      <c r="B14" s="477"/>
      <c r="C14" s="477"/>
      <c r="D14" s="477"/>
      <c r="E14" s="477"/>
      <c r="F14" s="477"/>
      <c r="G14" s="477"/>
      <c r="H14" s="477"/>
      <c r="I14" s="477"/>
    </row>
    <row r="15" spans="2:9" ht="12.6" customHeight="1" x14ac:dyDescent="0.2">
      <c r="B15" s="477"/>
      <c r="C15" s="477"/>
      <c r="D15" s="477"/>
      <c r="E15" s="477"/>
      <c r="F15" s="477"/>
      <c r="G15" s="477"/>
      <c r="H15" s="477"/>
      <c r="I15" s="477"/>
    </row>
    <row r="16" spans="2:9" ht="12.6" customHeight="1" x14ac:dyDescent="0.2">
      <c r="B16" s="477"/>
      <c r="C16" s="477"/>
      <c r="D16" s="477"/>
      <c r="E16" s="477"/>
      <c r="F16" s="477"/>
      <c r="G16" s="477"/>
      <c r="H16" s="477"/>
      <c r="I16" s="477"/>
    </row>
    <row r="17" spans="2:9" ht="12.6" customHeight="1" x14ac:dyDescent="0.2">
      <c r="B17" s="477"/>
      <c r="C17" s="477"/>
      <c r="D17" s="477"/>
      <c r="E17" s="477"/>
      <c r="F17" s="477"/>
      <c r="G17" s="477"/>
      <c r="H17" s="477"/>
      <c r="I17" s="477"/>
    </row>
    <row r="18" spans="2:9" ht="12.6" customHeight="1" x14ac:dyDescent="0.2">
      <c r="B18" s="477"/>
      <c r="C18" s="477"/>
      <c r="D18" s="477"/>
      <c r="E18" s="477"/>
      <c r="F18" s="477"/>
      <c r="G18" s="477"/>
      <c r="H18" s="477"/>
      <c r="I18" s="477"/>
    </row>
    <row r="19" spans="2:9" ht="12.6" customHeight="1" x14ac:dyDescent="0.2">
      <c r="B19" s="477"/>
      <c r="C19" s="477"/>
      <c r="D19" s="477"/>
      <c r="E19" s="477"/>
      <c r="F19" s="477"/>
      <c r="G19" s="477"/>
      <c r="H19" s="477"/>
      <c r="I19" s="477"/>
    </row>
    <row r="20" spans="2:9" ht="13.5" x14ac:dyDescent="0.25">
      <c r="C20" s="193" t="s">
        <v>2839</v>
      </c>
    </row>
    <row r="24" spans="2:9" x14ac:dyDescent="0.2">
      <c r="B24" s="468"/>
    </row>
  </sheetData>
  <mergeCells count="1">
    <mergeCell ref="B5:I19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7350E-4F91-460D-98A5-14F9D167088E}">
  <sheetPr>
    <pageSetUpPr fitToPage="1"/>
  </sheetPr>
  <dimension ref="A1:FX324"/>
  <sheetViews>
    <sheetView showGridLines="0" topLeftCell="A58" workbookViewId="0">
      <selection activeCell="C17" sqref="C17"/>
    </sheetView>
  </sheetViews>
  <sheetFormatPr defaultColWidth="8.5703125" defaultRowHeight="15" x14ac:dyDescent="0.2"/>
  <cols>
    <col min="1" max="1" width="6.42578125" style="260" customWidth="1"/>
    <col min="2" max="2" width="5" style="260" bestFit="1" customWidth="1"/>
    <col min="3" max="3" width="55.42578125" style="260" bestFit="1" customWidth="1"/>
    <col min="4" max="4" width="12.28515625" style="260" customWidth="1"/>
    <col min="5" max="16384" width="8.5703125" style="260"/>
  </cols>
  <sheetData>
    <row r="1" spans="1:4" s="261" customFormat="1" ht="13.5" x14ac:dyDescent="0.2">
      <c r="A1" s="262"/>
      <c r="B1" s="263"/>
      <c r="C1" s="264"/>
      <c r="D1" s="265"/>
    </row>
    <row r="2" spans="1:4" s="261" customFormat="1" ht="15.75" x14ac:dyDescent="0.2">
      <c r="A2" s="479" t="s">
        <v>1447</v>
      </c>
      <c r="B2" s="479"/>
      <c r="C2" s="479"/>
      <c r="D2" s="479"/>
    </row>
    <row r="3" spans="1:4" s="261" customFormat="1" ht="14.25" thickBot="1" x14ac:dyDescent="0.25">
      <c r="A3" s="480"/>
      <c r="B3" s="480"/>
      <c r="C3" s="480"/>
      <c r="D3" s="266"/>
    </row>
    <row r="4" spans="1:4" s="261" customFormat="1" ht="14.25" thickBot="1" x14ac:dyDescent="0.25">
      <c r="A4" s="481" t="s">
        <v>363</v>
      </c>
      <c r="B4" s="481"/>
      <c r="C4" s="482" t="s">
        <v>364</v>
      </c>
      <c r="D4" s="484" t="s">
        <v>2783</v>
      </c>
    </row>
    <row r="5" spans="1:4" s="261" customFormat="1" ht="14.25" thickBot="1" x14ac:dyDescent="0.25">
      <c r="A5" s="268" t="s">
        <v>367</v>
      </c>
      <c r="B5" s="267" t="s">
        <v>368</v>
      </c>
      <c r="C5" s="483"/>
      <c r="D5" s="485"/>
    </row>
    <row r="6" spans="1:4" s="261" customFormat="1" ht="15" customHeight="1" x14ac:dyDescent="0.2">
      <c r="A6" s="269"/>
      <c r="B6" s="270"/>
      <c r="C6" s="271" t="s">
        <v>232</v>
      </c>
      <c r="D6" s="272"/>
    </row>
    <row r="7" spans="1:4" s="261" customFormat="1" ht="15" customHeight="1" x14ac:dyDescent="0.2">
      <c r="A7" s="273">
        <v>21175</v>
      </c>
      <c r="B7" s="274" t="s">
        <v>428</v>
      </c>
      <c r="C7" s="275" t="s">
        <v>429</v>
      </c>
      <c r="D7" s="276">
        <v>7.4</v>
      </c>
    </row>
    <row r="8" spans="1:4" s="261" customFormat="1" ht="15" customHeight="1" x14ac:dyDescent="0.2">
      <c r="A8" s="273">
        <v>21443</v>
      </c>
      <c r="B8" s="274" t="s">
        <v>498</v>
      </c>
      <c r="C8" s="275" t="s">
        <v>499</v>
      </c>
      <c r="D8" s="276">
        <v>6.8999999999999995</v>
      </c>
    </row>
    <row r="9" spans="1:4" s="261" customFormat="1" ht="15" customHeight="1" x14ac:dyDescent="0.2">
      <c r="A9" s="273">
        <v>22187</v>
      </c>
      <c r="B9" s="274" t="s">
        <v>663</v>
      </c>
      <c r="C9" s="275" t="s">
        <v>664</v>
      </c>
      <c r="D9" s="276">
        <v>6.31</v>
      </c>
    </row>
    <row r="10" spans="1:4" s="261" customFormat="1" ht="15" customHeight="1" x14ac:dyDescent="0.2">
      <c r="A10" s="273">
        <v>22511</v>
      </c>
      <c r="B10" s="274" t="s">
        <v>735</v>
      </c>
      <c r="C10" s="275" t="s">
        <v>736</v>
      </c>
      <c r="D10" s="276">
        <v>3.1</v>
      </c>
    </row>
    <row r="11" spans="1:4" s="261" customFormat="1" ht="15" customHeight="1" x14ac:dyDescent="0.2">
      <c r="A11" s="273">
        <v>21086</v>
      </c>
      <c r="B11" s="274" t="s">
        <v>385</v>
      </c>
      <c r="C11" s="275" t="s">
        <v>386</v>
      </c>
      <c r="D11" s="276">
        <v>10.199999999999999</v>
      </c>
    </row>
    <row r="12" spans="1:4" s="261" customFormat="1" ht="15" customHeight="1" x14ac:dyDescent="0.2">
      <c r="A12" s="277">
        <v>21101</v>
      </c>
      <c r="B12" s="278" t="s">
        <v>394</v>
      </c>
      <c r="C12" s="279" t="s">
        <v>395</v>
      </c>
      <c r="D12" s="280">
        <v>1.7</v>
      </c>
    </row>
    <row r="13" spans="1:4" s="261" customFormat="1" ht="15" customHeight="1" x14ac:dyDescent="0.2">
      <c r="A13" s="273">
        <v>21107</v>
      </c>
      <c r="B13" s="274" t="s">
        <v>398</v>
      </c>
      <c r="C13" s="275" t="s">
        <v>399</v>
      </c>
      <c r="D13" s="276">
        <v>14.8</v>
      </c>
    </row>
    <row r="14" spans="1:4" s="261" customFormat="1" ht="15" customHeight="1" x14ac:dyDescent="0.2">
      <c r="A14" s="273">
        <v>21141</v>
      </c>
      <c r="B14" s="274" t="s">
        <v>1450</v>
      </c>
      <c r="C14" s="275" t="s">
        <v>1451</v>
      </c>
      <c r="D14" s="276">
        <v>6.2</v>
      </c>
    </row>
    <row r="15" spans="1:4" s="261" customFormat="1" ht="15" customHeight="1" x14ac:dyDescent="0.2">
      <c r="A15" s="273">
        <v>21140</v>
      </c>
      <c r="B15" s="274" t="s">
        <v>412</v>
      </c>
      <c r="C15" s="275" t="s">
        <v>413</v>
      </c>
      <c r="D15" s="276">
        <v>1.27</v>
      </c>
    </row>
    <row r="16" spans="1:4" s="261" customFormat="1" ht="15" customHeight="1" x14ac:dyDescent="0.2">
      <c r="A16" s="273">
        <v>21156</v>
      </c>
      <c r="B16" s="274" t="s">
        <v>416</v>
      </c>
      <c r="C16" s="275" t="s">
        <v>417</v>
      </c>
      <c r="D16" s="276">
        <v>1.8</v>
      </c>
    </row>
    <row r="17" spans="1:4" s="261" customFormat="1" ht="15" customHeight="1" x14ac:dyDescent="0.2">
      <c r="A17" s="273">
        <v>21161</v>
      </c>
      <c r="B17" s="274" t="s">
        <v>418</v>
      </c>
      <c r="C17" s="275" t="s">
        <v>419</v>
      </c>
      <c r="D17" s="276">
        <v>8.1999999999999993</v>
      </c>
    </row>
    <row r="18" spans="1:4" s="261" customFormat="1" ht="15" customHeight="1" x14ac:dyDescent="0.2">
      <c r="A18" s="273">
        <v>21162</v>
      </c>
      <c r="B18" s="274" t="s">
        <v>420</v>
      </c>
      <c r="C18" s="275" t="s">
        <v>421</v>
      </c>
      <c r="D18" s="276">
        <v>9.8000000000000007</v>
      </c>
    </row>
    <row r="19" spans="1:4" s="261" customFormat="1" ht="15" customHeight="1" x14ac:dyDescent="0.2">
      <c r="A19" s="273">
        <v>21178</v>
      </c>
      <c r="B19" s="274" t="s">
        <v>423</v>
      </c>
      <c r="C19" s="275" t="s">
        <v>424</v>
      </c>
      <c r="D19" s="276">
        <v>6.26</v>
      </c>
    </row>
    <row r="20" spans="1:4" s="261" customFormat="1" ht="15" customHeight="1" x14ac:dyDescent="0.2">
      <c r="A20" s="273">
        <v>21169</v>
      </c>
      <c r="B20" s="274" t="s">
        <v>426</v>
      </c>
      <c r="C20" s="275" t="s">
        <v>427</v>
      </c>
      <c r="D20" s="276">
        <v>7.8</v>
      </c>
    </row>
    <row r="21" spans="1:4" s="261" customFormat="1" ht="15" customHeight="1" x14ac:dyDescent="0.2">
      <c r="A21" s="273">
        <v>21186</v>
      </c>
      <c r="B21" s="274" t="s">
        <v>430</v>
      </c>
      <c r="C21" s="275" t="s">
        <v>431</v>
      </c>
      <c r="D21" s="276">
        <v>12</v>
      </c>
    </row>
    <row r="22" spans="1:4" s="261" customFormat="1" ht="15" customHeight="1" x14ac:dyDescent="0.2">
      <c r="A22" s="273">
        <v>21196</v>
      </c>
      <c r="B22" s="274" t="s">
        <v>434</v>
      </c>
      <c r="C22" s="275" t="s">
        <v>435</v>
      </c>
      <c r="D22" s="276">
        <v>1.9</v>
      </c>
    </row>
    <row r="23" spans="1:4" s="261" customFormat="1" ht="15" customHeight="1" x14ac:dyDescent="0.2">
      <c r="A23" s="277">
        <v>21217</v>
      </c>
      <c r="B23" s="278" t="s">
        <v>440</v>
      </c>
      <c r="C23" s="279" t="s">
        <v>441</v>
      </c>
      <c r="D23" s="280">
        <v>1.7</v>
      </c>
    </row>
    <row r="24" spans="1:4" s="261" customFormat="1" ht="15" customHeight="1" x14ac:dyDescent="0.2">
      <c r="A24" s="277">
        <v>21220</v>
      </c>
      <c r="B24" s="278" t="s">
        <v>442</v>
      </c>
      <c r="C24" s="279" t="s">
        <v>443</v>
      </c>
      <c r="D24" s="280">
        <v>1.7</v>
      </c>
    </row>
    <row r="25" spans="1:4" s="261" customFormat="1" ht="15" customHeight="1" x14ac:dyDescent="0.2">
      <c r="A25" s="273">
        <v>21230</v>
      </c>
      <c r="B25" s="274" t="s">
        <v>444</v>
      </c>
      <c r="C25" s="275" t="s">
        <v>445</v>
      </c>
      <c r="D25" s="276">
        <v>5.47</v>
      </c>
    </row>
    <row r="26" spans="1:4" s="261" customFormat="1" ht="15" customHeight="1" x14ac:dyDescent="0.2">
      <c r="A26" s="273">
        <v>21242</v>
      </c>
      <c r="B26" s="274" t="s">
        <v>446</v>
      </c>
      <c r="C26" s="275" t="s">
        <v>447</v>
      </c>
      <c r="D26" s="276">
        <v>8.8000000000000007</v>
      </c>
    </row>
    <row r="27" spans="1:4" s="261" customFormat="1" ht="15" customHeight="1" x14ac:dyDescent="0.2">
      <c r="A27" s="273">
        <v>21243</v>
      </c>
      <c r="B27" s="274" t="s">
        <v>448</v>
      </c>
      <c r="C27" s="275" t="s">
        <v>449</v>
      </c>
      <c r="D27" s="276">
        <v>8.8000000000000007</v>
      </c>
    </row>
    <row r="28" spans="1:4" s="261" customFormat="1" ht="15" customHeight="1" x14ac:dyDescent="0.2">
      <c r="A28" s="273">
        <v>21258</v>
      </c>
      <c r="B28" s="274" t="s">
        <v>450</v>
      </c>
      <c r="C28" s="275" t="s">
        <v>451</v>
      </c>
      <c r="D28" s="276">
        <v>8.9</v>
      </c>
    </row>
    <row r="29" spans="1:4" s="261" customFormat="1" ht="15" customHeight="1" x14ac:dyDescent="0.2">
      <c r="A29" s="273">
        <v>21262</v>
      </c>
      <c r="B29" s="274" t="s">
        <v>452</v>
      </c>
      <c r="C29" s="275" t="s">
        <v>453</v>
      </c>
      <c r="D29" s="276">
        <v>9.5</v>
      </c>
    </row>
    <row r="30" spans="1:4" s="261" customFormat="1" ht="15" customHeight="1" x14ac:dyDescent="0.2">
      <c r="A30" s="273">
        <v>21261</v>
      </c>
      <c r="B30" s="274" t="s">
        <v>454</v>
      </c>
      <c r="C30" s="275" t="s">
        <v>455</v>
      </c>
      <c r="D30" s="276">
        <v>9.5</v>
      </c>
    </row>
    <row r="31" spans="1:4" s="261" customFormat="1" ht="15" customHeight="1" x14ac:dyDescent="0.2">
      <c r="A31" s="273">
        <v>21264</v>
      </c>
      <c r="B31" s="274" t="s">
        <v>1452</v>
      </c>
      <c r="C31" s="275" t="s">
        <v>2784</v>
      </c>
      <c r="D31" s="276">
        <v>4.8</v>
      </c>
    </row>
    <row r="32" spans="1:4" s="261" customFormat="1" ht="15" customHeight="1" x14ac:dyDescent="0.2">
      <c r="A32" s="273">
        <v>21263</v>
      </c>
      <c r="B32" s="274" t="s">
        <v>1453</v>
      </c>
      <c r="C32" s="275" t="s">
        <v>2785</v>
      </c>
      <c r="D32" s="276">
        <v>4.8</v>
      </c>
    </row>
    <row r="33" spans="1:4" s="261" customFormat="1" ht="15" customHeight="1" x14ac:dyDescent="0.2">
      <c r="A33" s="281">
        <v>21272</v>
      </c>
      <c r="B33" s="282" t="s">
        <v>1454</v>
      </c>
      <c r="C33" s="283" t="s">
        <v>1455</v>
      </c>
      <c r="D33" s="276" t="s">
        <v>1456</v>
      </c>
    </row>
    <row r="34" spans="1:4" s="261" customFormat="1" ht="15" customHeight="1" x14ac:dyDescent="0.2">
      <c r="A34" s="281">
        <v>21280</v>
      </c>
      <c r="B34" s="282" t="s">
        <v>1454</v>
      </c>
      <c r="C34" s="283" t="s">
        <v>1457</v>
      </c>
      <c r="D34" s="276" t="s">
        <v>1456</v>
      </c>
    </row>
    <row r="35" spans="1:4" s="261" customFormat="1" ht="15" customHeight="1" x14ac:dyDescent="0.2">
      <c r="A35" s="273">
        <v>21321</v>
      </c>
      <c r="B35" s="274" t="s">
        <v>460</v>
      </c>
      <c r="C35" s="275" t="s">
        <v>1458</v>
      </c>
      <c r="D35" s="276">
        <v>11.2</v>
      </c>
    </row>
    <row r="36" spans="1:4" s="261" customFormat="1" ht="15" customHeight="1" x14ac:dyDescent="0.2">
      <c r="A36" s="277">
        <v>21344</v>
      </c>
      <c r="B36" s="278" t="s">
        <v>1459</v>
      </c>
      <c r="C36" s="279" t="s">
        <v>1460</v>
      </c>
      <c r="D36" s="280">
        <v>2.2000000000000002</v>
      </c>
    </row>
    <row r="37" spans="1:4" s="261" customFormat="1" ht="15" customHeight="1" x14ac:dyDescent="0.2">
      <c r="A37" s="277">
        <v>21340</v>
      </c>
      <c r="B37" s="278" t="s">
        <v>1461</v>
      </c>
      <c r="C37" s="279" t="s">
        <v>240</v>
      </c>
      <c r="D37" s="280">
        <v>2.2000000000000002</v>
      </c>
    </row>
    <row r="38" spans="1:4" s="261" customFormat="1" ht="15" customHeight="1" x14ac:dyDescent="0.2">
      <c r="A38" s="273">
        <v>21372</v>
      </c>
      <c r="B38" s="274" t="s">
        <v>474</v>
      </c>
      <c r="C38" s="275" t="s">
        <v>475</v>
      </c>
      <c r="D38" s="276">
        <v>10.7</v>
      </c>
    </row>
    <row r="39" spans="1:4" s="261" customFormat="1" ht="15" customHeight="1" x14ac:dyDescent="0.2">
      <c r="A39" s="284">
        <v>21369</v>
      </c>
      <c r="B39" s="285" t="s">
        <v>1462</v>
      </c>
      <c r="C39" s="286" t="s">
        <v>2786</v>
      </c>
      <c r="D39" s="276">
        <v>10.9</v>
      </c>
    </row>
    <row r="40" spans="1:4" s="261" customFormat="1" ht="15" customHeight="1" x14ac:dyDescent="0.2">
      <c r="A40" s="273">
        <v>21370</v>
      </c>
      <c r="B40" s="274" t="s">
        <v>476</v>
      </c>
      <c r="C40" s="275" t="s">
        <v>477</v>
      </c>
      <c r="D40" s="276">
        <v>10.7</v>
      </c>
    </row>
    <row r="41" spans="1:4" s="261" customFormat="1" ht="15" customHeight="1" x14ac:dyDescent="0.2">
      <c r="A41" s="273">
        <v>21393</v>
      </c>
      <c r="B41" s="274" t="s">
        <v>478</v>
      </c>
      <c r="C41" s="275" t="s">
        <v>479</v>
      </c>
      <c r="D41" s="276">
        <v>9.99</v>
      </c>
    </row>
    <row r="42" spans="1:4" s="261" customFormat="1" ht="15" customHeight="1" x14ac:dyDescent="0.2">
      <c r="A42" s="277">
        <v>21396</v>
      </c>
      <c r="B42" s="278" t="s">
        <v>480</v>
      </c>
      <c r="C42" s="279" t="s">
        <v>481</v>
      </c>
      <c r="D42" s="280">
        <v>1.7</v>
      </c>
    </row>
    <row r="43" spans="1:4" s="261" customFormat="1" ht="15" customHeight="1" x14ac:dyDescent="0.2">
      <c r="A43" s="273">
        <v>21401</v>
      </c>
      <c r="B43" s="274" t="s">
        <v>482</v>
      </c>
      <c r="C43" s="275" t="s">
        <v>483</v>
      </c>
      <c r="D43" s="276">
        <v>12.9</v>
      </c>
    </row>
    <row r="44" spans="1:4" s="261" customFormat="1" ht="15" customHeight="1" x14ac:dyDescent="0.2">
      <c r="A44" s="273">
        <v>21412</v>
      </c>
      <c r="B44" s="274" t="s">
        <v>484</v>
      </c>
      <c r="C44" s="275" t="s">
        <v>485</v>
      </c>
      <c r="D44" s="276">
        <v>4.3100000000000005</v>
      </c>
    </row>
    <row r="45" spans="1:4" s="261" customFormat="1" ht="15" customHeight="1" x14ac:dyDescent="0.2">
      <c r="A45" s="277">
        <v>21415</v>
      </c>
      <c r="B45" s="278" t="s">
        <v>2787</v>
      </c>
      <c r="C45" s="279" t="s">
        <v>2788</v>
      </c>
      <c r="D45" s="280">
        <v>36.5</v>
      </c>
    </row>
    <row r="46" spans="1:4" s="261" customFormat="1" ht="15" customHeight="1" x14ac:dyDescent="0.2">
      <c r="A46" s="273">
        <v>21425</v>
      </c>
      <c r="B46" s="274" t="s">
        <v>486</v>
      </c>
      <c r="C46" s="275" t="s">
        <v>487</v>
      </c>
      <c r="D46" s="276">
        <v>11</v>
      </c>
    </row>
    <row r="47" spans="1:4" s="261" customFormat="1" ht="15" customHeight="1" x14ac:dyDescent="0.2">
      <c r="A47" s="273">
        <v>21435</v>
      </c>
      <c r="B47" s="274" t="s">
        <v>492</v>
      </c>
      <c r="C47" s="275" t="s">
        <v>1463</v>
      </c>
      <c r="D47" s="276">
        <v>15.080000000000002</v>
      </c>
    </row>
    <row r="48" spans="1:4" s="261" customFormat="1" ht="15" customHeight="1" x14ac:dyDescent="0.2">
      <c r="A48" s="273">
        <v>21438</v>
      </c>
      <c r="B48" s="274" t="s">
        <v>494</v>
      </c>
      <c r="C48" s="275" t="s">
        <v>495</v>
      </c>
      <c r="D48" s="276">
        <v>14.6</v>
      </c>
    </row>
    <row r="49" spans="1:4" s="261" customFormat="1" ht="15" customHeight="1" x14ac:dyDescent="0.2">
      <c r="A49" s="273">
        <v>21448</v>
      </c>
      <c r="B49" s="274" t="s">
        <v>500</v>
      </c>
      <c r="C49" s="275" t="s">
        <v>501</v>
      </c>
      <c r="D49" s="276">
        <v>19.97</v>
      </c>
    </row>
    <row r="50" spans="1:4" s="261" customFormat="1" ht="15" customHeight="1" x14ac:dyDescent="0.2">
      <c r="A50" s="281">
        <v>21482</v>
      </c>
      <c r="B50" s="282" t="s">
        <v>1454</v>
      </c>
      <c r="C50" s="283" t="s">
        <v>1464</v>
      </c>
      <c r="D50" s="276" t="s">
        <v>1456</v>
      </c>
    </row>
    <row r="51" spans="1:4" s="261" customFormat="1" ht="15" customHeight="1" x14ac:dyDescent="0.2">
      <c r="A51" s="273">
        <v>21516</v>
      </c>
      <c r="B51" s="274" t="s">
        <v>510</v>
      </c>
      <c r="C51" s="275" t="s">
        <v>511</v>
      </c>
      <c r="D51" s="276">
        <v>10.84</v>
      </c>
    </row>
    <row r="52" spans="1:4" s="261" customFormat="1" ht="15" customHeight="1" x14ac:dyDescent="0.2">
      <c r="A52" s="273">
        <v>21513</v>
      </c>
      <c r="B52" s="274" t="s">
        <v>512</v>
      </c>
      <c r="C52" s="275" t="s">
        <v>513</v>
      </c>
      <c r="D52" s="276">
        <v>1.3</v>
      </c>
    </row>
    <row r="53" spans="1:4" s="261" customFormat="1" ht="15" customHeight="1" x14ac:dyDescent="0.2">
      <c r="A53" s="273">
        <v>21529</v>
      </c>
      <c r="B53" s="274" t="s">
        <v>516</v>
      </c>
      <c r="C53" s="275" t="s">
        <v>517</v>
      </c>
      <c r="D53" s="276">
        <v>3.41</v>
      </c>
    </row>
    <row r="54" spans="1:4" s="261" customFormat="1" ht="15" customHeight="1" x14ac:dyDescent="0.2">
      <c r="A54" s="277">
        <v>21539</v>
      </c>
      <c r="B54" s="278" t="s">
        <v>518</v>
      </c>
      <c r="C54" s="279" t="s">
        <v>2789</v>
      </c>
      <c r="D54" s="280">
        <v>2.2000000000000002</v>
      </c>
    </row>
    <row r="55" spans="1:4" s="261" customFormat="1" ht="15" customHeight="1" x14ac:dyDescent="0.2">
      <c r="A55" s="273">
        <v>21545</v>
      </c>
      <c r="B55" s="274" t="s">
        <v>522</v>
      </c>
      <c r="C55" s="275" t="s">
        <v>2790</v>
      </c>
      <c r="D55" s="276">
        <v>3</v>
      </c>
    </row>
    <row r="56" spans="1:4" s="261" customFormat="1" ht="15" customHeight="1" x14ac:dyDescent="0.2">
      <c r="A56" s="277">
        <v>21554</v>
      </c>
      <c r="B56" s="278" t="s">
        <v>526</v>
      </c>
      <c r="C56" s="279" t="s">
        <v>527</v>
      </c>
      <c r="D56" s="280">
        <v>1.7</v>
      </c>
    </row>
    <row r="57" spans="1:4" s="261" customFormat="1" ht="15" customHeight="1" x14ac:dyDescent="0.2">
      <c r="A57" s="273">
        <v>21589</v>
      </c>
      <c r="B57" s="274" t="s">
        <v>1465</v>
      </c>
      <c r="C57" s="275" t="s">
        <v>1466</v>
      </c>
      <c r="D57" s="276">
        <v>11.24</v>
      </c>
    </row>
    <row r="58" spans="1:4" s="261" customFormat="1" ht="15" customHeight="1" x14ac:dyDescent="0.2">
      <c r="A58" s="273">
        <v>21587</v>
      </c>
      <c r="B58" s="274" t="s">
        <v>532</v>
      </c>
      <c r="C58" s="275" t="s">
        <v>533</v>
      </c>
      <c r="D58" s="276">
        <v>9.3000000000000007</v>
      </c>
    </row>
    <row r="59" spans="1:4" s="261" customFormat="1" ht="15" customHeight="1" x14ac:dyDescent="0.2">
      <c r="A59" s="273">
        <v>21609</v>
      </c>
      <c r="B59" s="274" t="s">
        <v>540</v>
      </c>
      <c r="C59" s="275" t="s">
        <v>541</v>
      </c>
      <c r="D59" s="276">
        <v>1.8</v>
      </c>
    </row>
    <row r="60" spans="1:4" s="261" customFormat="1" ht="15" customHeight="1" x14ac:dyDescent="0.2">
      <c r="A60" s="273">
        <v>21623</v>
      </c>
      <c r="B60" s="274" t="s">
        <v>546</v>
      </c>
      <c r="C60" s="275" t="s">
        <v>547</v>
      </c>
      <c r="D60" s="276">
        <v>4.2</v>
      </c>
    </row>
    <row r="61" spans="1:4" s="261" customFormat="1" ht="15" customHeight="1" x14ac:dyDescent="0.2">
      <c r="A61" s="277">
        <v>21620</v>
      </c>
      <c r="B61" s="278" t="s">
        <v>548</v>
      </c>
      <c r="C61" s="279" t="s">
        <v>549</v>
      </c>
      <c r="D61" s="280">
        <v>1.6</v>
      </c>
    </row>
    <row r="62" spans="1:4" s="261" customFormat="1" ht="15" customHeight="1" x14ac:dyDescent="0.2">
      <c r="A62" s="273">
        <v>21646</v>
      </c>
      <c r="B62" s="274" t="s">
        <v>554</v>
      </c>
      <c r="C62" s="275" t="s">
        <v>555</v>
      </c>
      <c r="D62" s="276">
        <v>9.24</v>
      </c>
    </row>
    <row r="63" spans="1:4" s="261" customFormat="1" ht="15" customHeight="1" x14ac:dyDescent="0.2">
      <c r="A63" s="273">
        <v>21665</v>
      </c>
      <c r="B63" s="274" t="s">
        <v>561</v>
      </c>
      <c r="C63" s="275" t="s">
        <v>562</v>
      </c>
      <c r="D63" s="276">
        <v>1.4</v>
      </c>
    </row>
    <row r="64" spans="1:4" s="261" customFormat="1" ht="15" customHeight="1" x14ac:dyDescent="0.2">
      <c r="A64" s="273">
        <v>21638</v>
      </c>
      <c r="B64" s="274" t="s">
        <v>550</v>
      </c>
      <c r="C64" s="275" t="s">
        <v>2791</v>
      </c>
      <c r="D64" s="276">
        <v>6.9499999999999993</v>
      </c>
    </row>
    <row r="65" spans="1:4" s="261" customFormat="1" ht="15" customHeight="1" x14ac:dyDescent="0.2">
      <c r="A65" s="273">
        <v>21641</v>
      </c>
      <c r="B65" s="274" t="s">
        <v>552</v>
      </c>
      <c r="C65" s="275" t="s">
        <v>2792</v>
      </c>
      <c r="D65" s="276">
        <v>9.24</v>
      </c>
    </row>
    <row r="66" spans="1:4" s="261" customFormat="1" ht="15" customHeight="1" x14ac:dyDescent="0.2">
      <c r="A66" s="273">
        <v>21724</v>
      </c>
      <c r="B66" s="274" t="s">
        <v>568</v>
      </c>
      <c r="C66" s="275" t="s">
        <v>569</v>
      </c>
      <c r="D66" s="276">
        <v>11.4</v>
      </c>
    </row>
    <row r="67" spans="1:4" s="261" customFormat="1" ht="15" customHeight="1" x14ac:dyDescent="0.2">
      <c r="A67" s="273">
        <v>21775</v>
      </c>
      <c r="B67" s="274" t="s">
        <v>573</v>
      </c>
      <c r="C67" s="275" t="s">
        <v>574</v>
      </c>
      <c r="D67" s="276">
        <v>2.3200000000000003</v>
      </c>
    </row>
    <row r="68" spans="1:4" s="261" customFormat="1" ht="15" customHeight="1" x14ac:dyDescent="0.2">
      <c r="A68" s="273">
        <v>21777</v>
      </c>
      <c r="B68" s="274" t="s">
        <v>575</v>
      </c>
      <c r="C68" s="275" t="s">
        <v>576</v>
      </c>
      <c r="D68" s="276">
        <v>11</v>
      </c>
    </row>
    <row r="69" spans="1:4" s="261" customFormat="1" ht="15" customHeight="1" x14ac:dyDescent="0.2">
      <c r="A69" s="273">
        <v>21240</v>
      </c>
      <c r="B69" s="274" t="s">
        <v>577</v>
      </c>
      <c r="C69" s="275" t="s">
        <v>578</v>
      </c>
      <c r="D69" s="276">
        <v>7.6</v>
      </c>
    </row>
    <row r="70" spans="1:4" s="261" customFormat="1" ht="15" customHeight="1" x14ac:dyDescent="0.2">
      <c r="A70" s="273">
        <v>21794</v>
      </c>
      <c r="B70" s="274" t="s">
        <v>581</v>
      </c>
      <c r="C70" s="275" t="s">
        <v>582</v>
      </c>
      <c r="D70" s="276">
        <v>6.2</v>
      </c>
    </row>
    <row r="71" spans="1:4" s="261" customFormat="1" ht="15" customHeight="1" x14ac:dyDescent="0.2">
      <c r="A71" s="273">
        <v>21809</v>
      </c>
      <c r="B71" s="274" t="s">
        <v>584</v>
      </c>
      <c r="C71" s="275" t="s">
        <v>585</v>
      </c>
      <c r="D71" s="276">
        <v>6</v>
      </c>
    </row>
    <row r="72" spans="1:4" s="261" customFormat="1" ht="27" x14ac:dyDescent="0.2">
      <c r="A72" s="273"/>
      <c r="B72" s="274"/>
      <c r="C72" s="287" t="s">
        <v>1467</v>
      </c>
      <c r="D72" s="276"/>
    </row>
    <row r="73" spans="1:4" s="261" customFormat="1" ht="15" customHeight="1" x14ac:dyDescent="0.2">
      <c r="A73" s="273">
        <v>21875</v>
      </c>
      <c r="B73" s="274" t="s">
        <v>597</v>
      </c>
      <c r="C73" s="275" t="s">
        <v>598</v>
      </c>
      <c r="D73" s="276">
        <v>12.5</v>
      </c>
    </row>
    <row r="74" spans="1:4" s="261" customFormat="1" ht="15" customHeight="1" x14ac:dyDescent="0.2">
      <c r="A74" s="273">
        <v>21895</v>
      </c>
      <c r="B74" s="274" t="s">
        <v>599</v>
      </c>
      <c r="C74" s="275" t="s">
        <v>600</v>
      </c>
      <c r="D74" s="276">
        <v>6.5</v>
      </c>
    </row>
    <row r="75" spans="1:4" s="261" customFormat="1" ht="15" customHeight="1" x14ac:dyDescent="0.2">
      <c r="A75" s="277">
        <v>21906</v>
      </c>
      <c r="B75" s="278" t="s">
        <v>603</v>
      </c>
      <c r="C75" s="279" t="s">
        <v>604</v>
      </c>
      <c r="D75" s="280">
        <v>2.2000000000000002</v>
      </c>
    </row>
    <row r="76" spans="1:4" s="261" customFormat="1" ht="15" customHeight="1" x14ac:dyDescent="0.2">
      <c r="A76" s="277">
        <v>21900</v>
      </c>
      <c r="B76" s="278" t="s">
        <v>605</v>
      </c>
      <c r="C76" s="279" t="s">
        <v>606</v>
      </c>
      <c r="D76" s="280">
        <v>2.2000000000000002</v>
      </c>
    </row>
    <row r="77" spans="1:4" s="261" customFormat="1" ht="15" customHeight="1" x14ac:dyDescent="0.2">
      <c r="A77" s="273">
        <v>21074</v>
      </c>
      <c r="B77" s="274" t="s">
        <v>383</v>
      </c>
      <c r="C77" s="275" t="s">
        <v>1468</v>
      </c>
      <c r="D77" s="276">
        <v>10.5</v>
      </c>
    </row>
    <row r="78" spans="1:4" s="261" customFormat="1" ht="15" customHeight="1" x14ac:dyDescent="0.2">
      <c r="A78" s="273">
        <v>21932</v>
      </c>
      <c r="B78" s="274" t="s">
        <v>607</v>
      </c>
      <c r="C78" s="275" t="s">
        <v>608</v>
      </c>
      <c r="D78" s="276">
        <v>2.4680525986224167</v>
      </c>
    </row>
    <row r="79" spans="1:4" s="261" customFormat="1" ht="15" customHeight="1" x14ac:dyDescent="0.2">
      <c r="A79" s="273">
        <v>21929</v>
      </c>
      <c r="B79" s="274" t="s">
        <v>609</v>
      </c>
      <c r="C79" s="275" t="s">
        <v>1469</v>
      </c>
      <c r="D79" s="276">
        <v>7</v>
      </c>
    </row>
    <row r="80" spans="1:4" s="261" customFormat="1" ht="15" customHeight="1" x14ac:dyDescent="0.2">
      <c r="A80" s="277">
        <v>21935</v>
      </c>
      <c r="B80" s="278" t="s">
        <v>613</v>
      </c>
      <c r="C80" s="279" t="s">
        <v>614</v>
      </c>
      <c r="D80" s="280">
        <v>1.8</v>
      </c>
    </row>
    <row r="81" spans="1:4" s="261" customFormat="1" ht="15" customHeight="1" x14ac:dyDescent="0.2">
      <c r="A81" s="273">
        <v>21976</v>
      </c>
      <c r="B81" s="274" t="s">
        <v>617</v>
      </c>
      <c r="C81" s="275" t="s">
        <v>2793</v>
      </c>
      <c r="D81" s="276">
        <v>1.7</v>
      </c>
    </row>
    <row r="82" spans="1:4" s="261" customFormat="1" ht="15" customHeight="1" x14ac:dyDescent="0.2">
      <c r="A82" s="277">
        <v>22035</v>
      </c>
      <c r="B82" s="278" t="s">
        <v>631</v>
      </c>
      <c r="C82" s="279" t="s">
        <v>632</v>
      </c>
      <c r="D82" s="280">
        <v>1.91</v>
      </c>
    </row>
    <row r="83" spans="1:4" s="261" customFormat="1" ht="15" customHeight="1" x14ac:dyDescent="0.2">
      <c r="A83" s="273">
        <v>21789</v>
      </c>
      <c r="B83" s="274" t="s">
        <v>1470</v>
      </c>
      <c r="C83" s="275" t="s">
        <v>2794</v>
      </c>
      <c r="D83" s="276">
        <v>13.2</v>
      </c>
    </row>
    <row r="84" spans="1:4" s="261" customFormat="1" ht="15" customHeight="1" x14ac:dyDescent="0.2">
      <c r="A84" s="277">
        <v>22076</v>
      </c>
      <c r="B84" s="278" t="s">
        <v>1472</v>
      </c>
      <c r="C84" s="279" t="s">
        <v>639</v>
      </c>
      <c r="D84" s="280">
        <v>1.51</v>
      </c>
    </row>
    <row r="85" spans="1:4" s="261" customFormat="1" ht="15" customHeight="1" x14ac:dyDescent="0.2">
      <c r="A85" s="273">
        <v>22116</v>
      </c>
      <c r="B85" s="274" t="s">
        <v>646</v>
      </c>
      <c r="C85" s="275" t="s">
        <v>647</v>
      </c>
      <c r="D85" s="276">
        <v>7.6</v>
      </c>
    </row>
    <row r="86" spans="1:4" s="261" customFormat="1" ht="15" customHeight="1" x14ac:dyDescent="0.2">
      <c r="A86" s="273">
        <v>22114</v>
      </c>
      <c r="B86" s="274" t="s">
        <v>648</v>
      </c>
      <c r="C86" s="275" t="s">
        <v>649</v>
      </c>
      <c r="D86" s="276">
        <v>2.86</v>
      </c>
    </row>
    <row r="87" spans="1:4" s="261" customFormat="1" ht="15" customHeight="1" x14ac:dyDescent="0.2">
      <c r="A87" s="281">
        <v>22121</v>
      </c>
      <c r="B87" s="282" t="s">
        <v>1454</v>
      </c>
      <c r="C87" s="283" t="s">
        <v>2795</v>
      </c>
      <c r="D87" s="276" t="s">
        <v>1456</v>
      </c>
    </row>
    <row r="88" spans="1:4" s="261" customFormat="1" ht="15" customHeight="1" x14ac:dyDescent="0.2">
      <c r="A88" s="273">
        <v>22125</v>
      </c>
      <c r="B88" s="274" t="s">
        <v>652</v>
      </c>
      <c r="C88" s="275" t="s">
        <v>653</v>
      </c>
      <c r="D88" s="276">
        <v>2.86</v>
      </c>
    </row>
    <row r="89" spans="1:4" s="261" customFormat="1" ht="15" customHeight="1" x14ac:dyDescent="0.2">
      <c r="A89" s="273">
        <v>22140</v>
      </c>
      <c r="B89" s="274" t="s">
        <v>1473</v>
      </c>
      <c r="C89" s="275" t="s">
        <v>946</v>
      </c>
      <c r="D89" s="276">
        <v>6.26</v>
      </c>
    </row>
    <row r="90" spans="1:4" s="261" customFormat="1" ht="15" customHeight="1" x14ac:dyDescent="0.2">
      <c r="A90" s="273">
        <v>22151</v>
      </c>
      <c r="B90" s="274" t="s">
        <v>655</v>
      </c>
      <c r="C90" s="288" t="s">
        <v>656</v>
      </c>
      <c r="D90" s="289">
        <v>7.3</v>
      </c>
    </row>
    <row r="91" spans="1:4" s="261" customFormat="1" ht="15" customHeight="1" x14ac:dyDescent="0.2">
      <c r="A91" s="273">
        <v>22154</v>
      </c>
      <c r="B91" s="274" t="s">
        <v>657</v>
      </c>
      <c r="C91" s="275" t="s">
        <v>658</v>
      </c>
      <c r="D91" s="276">
        <v>0.87</v>
      </c>
    </row>
    <row r="92" spans="1:4" s="261" customFormat="1" ht="15" customHeight="1" x14ac:dyDescent="0.2">
      <c r="A92" s="281">
        <v>22213</v>
      </c>
      <c r="B92" s="282" t="s">
        <v>1454</v>
      </c>
      <c r="C92" s="283" t="s">
        <v>1474</v>
      </c>
      <c r="D92" s="276" t="s">
        <v>1456</v>
      </c>
    </row>
    <row r="93" spans="1:4" s="261" customFormat="1" ht="15" customHeight="1" x14ac:dyDescent="0.2">
      <c r="A93" s="273">
        <v>22220</v>
      </c>
      <c r="B93" s="274" t="s">
        <v>669</v>
      </c>
      <c r="C93" s="275" t="s">
        <v>670</v>
      </c>
      <c r="D93" s="276">
        <v>8.1</v>
      </c>
    </row>
    <row r="94" spans="1:4" s="261" customFormat="1" ht="15" customHeight="1" x14ac:dyDescent="0.2">
      <c r="A94" s="273">
        <v>22223</v>
      </c>
      <c r="B94" s="274" t="s">
        <v>671</v>
      </c>
      <c r="C94" s="275" t="s">
        <v>672</v>
      </c>
      <c r="D94" s="276">
        <v>27.1</v>
      </c>
    </row>
    <row r="95" spans="1:4" s="261" customFormat="1" ht="15" customHeight="1" x14ac:dyDescent="0.2">
      <c r="A95" s="273">
        <v>22226</v>
      </c>
      <c r="B95" s="274" t="s">
        <v>673</v>
      </c>
      <c r="C95" s="275" t="s">
        <v>674</v>
      </c>
      <c r="D95" s="276">
        <v>8.4</v>
      </c>
    </row>
    <row r="96" spans="1:4" s="261" customFormat="1" ht="15" customHeight="1" x14ac:dyDescent="0.2">
      <c r="A96" s="273">
        <v>22238</v>
      </c>
      <c r="B96" s="274" t="s">
        <v>675</v>
      </c>
      <c r="C96" s="275" t="s">
        <v>676</v>
      </c>
      <c r="D96" s="276">
        <v>6</v>
      </c>
    </row>
    <row r="97" spans="1:4" s="261" customFormat="1" ht="15" customHeight="1" x14ac:dyDescent="0.2">
      <c r="A97" s="273">
        <v>22244</v>
      </c>
      <c r="B97" s="274" t="s">
        <v>679</v>
      </c>
      <c r="C97" s="275" t="s">
        <v>680</v>
      </c>
      <c r="D97" s="276">
        <v>6</v>
      </c>
    </row>
    <row r="98" spans="1:4" s="261" customFormat="1" ht="15" customHeight="1" x14ac:dyDescent="0.2">
      <c r="A98" s="273">
        <v>22250</v>
      </c>
      <c r="B98" s="274" t="s">
        <v>682</v>
      </c>
      <c r="C98" s="275" t="s">
        <v>683</v>
      </c>
      <c r="D98" s="276">
        <v>8.5</v>
      </c>
    </row>
    <row r="99" spans="1:4" s="261" customFormat="1" ht="15" customHeight="1" x14ac:dyDescent="0.2">
      <c r="A99" s="277">
        <v>22253</v>
      </c>
      <c r="B99" s="278" t="s">
        <v>684</v>
      </c>
      <c r="C99" s="279" t="s">
        <v>685</v>
      </c>
      <c r="D99" s="280">
        <v>7</v>
      </c>
    </row>
    <row r="100" spans="1:4" s="261" customFormat="1" ht="15" customHeight="1" x14ac:dyDescent="0.2">
      <c r="A100" s="273">
        <v>22280</v>
      </c>
      <c r="B100" s="274" t="s">
        <v>687</v>
      </c>
      <c r="C100" s="275" t="s">
        <v>688</v>
      </c>
      <c r="D100" s="276">
        <v>6.4</v>
      </c>
    </row>
    <row r="101" spans="1:4" s="261" customFormat="1" ht="15" customHeight="1" x14ac:dyDescent="0.2">
      <c r="A101" s="277">
        <v>22271</v>
      </c>
      <c r="B101" s="278" t="s">
        <v>692</v>
      </c>
      <c r="C101" s="279" t="s">
        <v>263</v>
      </c>
      <c r="D101" s="280">
        <v>1.91</v>
      </c>
    </row>
    <row r="102" spans="1:4" s="261" customFormat="1" ht="15" customHeight="1" x14ac:dyDescent="0.2">
      <c r="A102" s="273">
        <v>22298</v>
      </c>
      <c r="B102" s="274" t="s">
        <v>693</v>
      </c>
      <c r="C102" s="275" t="s">
        <v>694</v>
      </c>
      <c r="D102" s="276">
        <v>5.3100000000000005</v>
      </c>
    </row>
    <row r="103" spans="1:4" s="261" customFormat="1" ht="15" customHeight="1" x14ac:dyDescent="0.2">
      <c r="A103" s="273">
        <v>22329</v>
      </c>
      <c r="B103" s="274" t="s">
        <v>702</v>
      </c>
      <c r="C103" s="275" t="s">
        <v>703</v>
      </c>
      <c r="D103" s="276">
        <v>2.9</v>
      </c>
    </row>
    <row r="104" spans="1:4" s="261" customFormat="1" ht="15" customHeight="1" x14ac:dyDescent="0.2">
      <c r="A104" s="273">
        <v>22340</v>
      </c>
      <c r="B104" s="274" t="s">
        <v>708</v>
      </c>
      <c r="C104" s="275" t="s">
        <v>2796</v>
      </c>
      <c r="D104" s="276">
        <v>4.2</v>
      </c>
    </row>
    <row r="105" spans="1:4" s="261" customFormat="1" ht="15" customHeight="1" x14ac:dyDescent="0.2">
      <c r="A105" s="273">
        <v>21835</v>
      </c>
      <c r="B105" s="274" t="s">
        <v>710</v>
      </c>
      <c r="C105" s="275" t="s">
        <v>711</v>
      </c>
      <c r="D105" s="276">
        <v>3.8</v>
      </c>
    </row>
    <row r="106" spans="1:4" s="261" customFormat="1" ht="15" customHeight="1" x14ac:dyDescent="0.2">
      <c r="A106" s="273">
        <v>22347</v>
      </c>
      <c r="B106" s="274" t="s">
        <v>712</v>
      </c>
      <c r="C106" s="275" t="s">
        <v>713</v>
      </c>
      <c r="D106" s="276">
        <v>3.41</v>
      </c>
    </row>
    <row r="107" spans="1:4" s="261" customFormat="1" ht="15" customHeight="1" x14ac:dyDescent="0.2">
      <c r="A107" s="273">
        <v>22357</v>
      </c>
      <c r="B107" s="274" t="s">
        <v>714</v>
      </c>
      <c r="C107" s="275" t="s">
        <v>715</v>
      </c>
      <c r="D107" s="276">
        <v>2.1</v>
      </c>
    </row>
    <row r="108" spans="1:4" s="261" customFormat="1" ht="15" customHeight="1" x14ac:dyDescent="0.2">
      <c r="A108" s="273">
        <v>22400</v>
      </c>
      <c r="B108" s="274" t="s">
        <v>716</v>
      </c>
      <c r="C108" s="275" t="s">
        <v>717</v>
      </c>
      <c r="D108" s="276">
        <v>19.97</v>
      </c>
    </row>
    <row r="109" spans="1:4" s="261" customFormat="1" ht="15" customHeight="1" x14ac:dyDescent="0.2">
      <c r="A109" s="273">
        <v>22413</v>
      </c>
      <c r="B109" s="274" t="s">
        <v>723</v>
      </c>
      <c r="C109" s="275" t="s">
        <v>724</v>
      </c>
      <c r="D109" s="276">
        <v>14.5</v>
      </c>
    </row>
    <row r="110" spans="1:4" s="261" customFormat="1" ht="15" customHeight="1" x14ac:dyDescent="0.2">
      <c r="A110" s="273">
        <v>22410</v>
      </c>
      <c r="B110" s="274" t="s">
        <v>721</v>
      </c>
      <c r="C110" s="275" t="s">
        <v>722</v>
      </c>
      <c r="D110" s="276">
        <v>25.3</v>
      </c>
    </row>
    <row r="111" spans="1:4" s="261" customFormat="1" ht="15" customHeight="1" x14ac:dyDescent="0.2">
      <c r="A111" s="273">
        <v>22461</v>
      </c>
      <c r="B111" s="274" t="s">
        <v>729</v>
      </c>
      <c r="C111" s="275" t="s">
        <v>730</v>
      </c>
      <c r="D111" s="276">
        <v>1.87</v>
      </c>
    </row>
    <row r="112" spans="1:4" s="261" customFormat="1" ht="15" customHeight="1" x14ac:dyDescent="0.2">
      <c r="A112" s="273"/>
      <c r="B112" s="274"/>
      <c r="C112" s="288" t="s">
        <v>1475</v>
      </c>
      <c r="D112" s="276"/>
    </row>
    <row r="113" spans="1:4" s="261" customFormat="1" ht="15" customHeight="1" x14ac:dyDescent="0.2">
      <c r="A113" s="281">
        <v>22508</v>
      </c>
      <c r="B113" s="282" t="s">
        <v>1454</v>
      </c>
      <c r="C113" s="283" t="s">
        <v>1476</v>
      </c>
      <c r="D113" s="276" t="s">
        <v>1456</v>
      </c>
    </row>
    <row r="114" spans="1:4" s="261" customFormat="1" ht="15" customHeight="1" x14ac:dyDescent="0.2">
      <c r="A114" s="273">
        <v>22521</v>
      </c>
      <c r="B114" s="274" t="s">
        <v>739</v>
      </c>
      <c r="C114" s="275" t="s">
        <v>740</v>
      </c>
      <c r="D114" s="276">
        <v>5.3100000000000005</v>
      </c>
    </row>
    <row r="115" spans="1:4" s="261" customFormat="1" ht="15" customHeight="1" x14ac:dyDescent="0.2">
      <c r="A115" s="273">
        <v>22581</v>
      </c>
      <c r="B115" s="274" t="s">
        <v>743</v>
      </c>
      <c r="C115" s="275" t="s">
        <v>744</v>
      </c>
      <c r="D115" s="276">
        <v>7.6</v>
      </c>
    </row>
    <row r="116" spans="1:4" s="261" customFormat="1" ht="15" customHeight="1" x14ac:dyDescent="0.2">
      <c r="A116" s="273">
        <v>22578</v>
      </c>
      <c r="B116" s="274" t="s">
        <v>1477</v>
      </c>
      <c r="C116" s="290" t="s">
        <v>1478</v>
      </c>
      <c r="D116" s="291">
        <v>29.6</v>
      </c>
    </row>
    <row r="117" spans="1:4" s="261" customFormat="1" ht="15" customHeight="1" x14ac:dyDescent="0.2">
      <c r="A117" s="273">
        <v>22608</v>
      </c>
      <c r="B117" s="274" t="s">
        <v>749</v>
      </c>
      <c r="C117" s="275" t="s">
        <v>750</v>
      </c>
      <c r="D117" s="276">
        <v>11.107402597402597</v>
      </c>
    </row>
    <row r="118" spans="1:4" s="261" customFormat="1" ht="15" customHeight="1" x14ac:dyDescent="0.2">
      <c r="A118" s="273">
        <v>22612</v>
      </c>
      <c r="B118" s="274" t="s">
        <v>754</v>
      </c>
      <c r="C118" s="275" t="s">
        <v>755</v>
      </c>
      <c r="D118" s="276">
        <v>8.3000000000000007</v>
      </c>
    </row>
    <row r="119" spans="1:4" s="261" customFormat="1" ht="15" customHeight="1" x14ac:dyDescent="0.2">
      <c r="A119" s="273">
        <v>22617</v>
      </c>
      <c r="B119" s="274" t="s">
        <v>758</v>
      </c>
      <c r="C119" s="275" t="s">
        <v>759</v>
      </c>
      <c r="D119" s="276">
        <v>1.2</v>
      </c>
    </row>
    <row r="120" spans="1:4" s="261" customFormat="1" ht="15" customHeight="1" x14ac:dyDescent="0.2">
      <c r="A120" s="273">
        <v>22642</v>
      </c>
      <c r="B120" s="274" t="s">
        <v>764</v>
      </c>
      <c r="C120" s="275" t="s">
        <v>765</v>
      </c>
      <c r="D120" s="276">
        <v>7.4</v>
      </c>
    </row>
    <row r="121" spans="1:4" s="261" customFormat="1" ht="15" customHeight="1" x14ac:dyDescent="0.2">
      <c r="A121" s="273">
        <v>22647</v>
      </c>
      <c r="B121" s="274" t="s">
        <v>766</v>
      </c>
      <c r="C121" s="275" t="s">
        <v>767</v>
      </c>
      <c r="D121" s="276">
        <v>6</v>
      </c>
    </row>
    <row r="122" spans="1:4" s="261" customFormat="1" ht="15" customHeight="1" x14ac:dyDescent="0.2">
      <c r="A122" s="281">
        <v>22606</v>
      </c>
      <c r="B122" s="282" t="s">
        <v>1454</v>
      </c>
      <c r="C122" s="283" t="s">
        <v>1479</v>
      </c>
      <c r="D122" s="276" t="s">
        <v>1456</v>
      </c>
    </row>
    <row r="123" spans="1:4" s="261" customFormat="1" ht="15" customHeight="1" x14ac:dyDescent="0.2">
      <c r="A123" s="273">
        <v>22671</v>
      </c>
      <c r="B123" s="274" t="s">
        <v>768</v>
      </c>
      <c r="C123" s="275" t="s">
        <v>1480</v>
      </c>
      <c r="D123" s="276">
        <v>8.1</v>
      </c>
    </row>
    <row r="124" spans="1:4" s="261" customFormat="1" ht="15" customHeight="1" x14ac:dyDescent="0.2">
      <c r="A124" s="273">
        <v>22669</v>
      </c>
      <c r="B124" s="274" t="s">
        <v>770</v>
      </c>
      <c r="C124" s="275" t="s">
        <v>1481</v>
      </c>
      <c r="D124" s="276">
        <v>2.63</v>
      </c>
    </row>
    <row r="125" spans="1:4" s="261" customFormat="1" ht="15" customHeight="1" x14ac:dyDescent="0.2">
      <c r="A125" s="273">
        <v>22673</v>
      </c>
      <c r="B125" s="274" t="s">
        <v>772</v>
      </c>
      <c r="C125" s="275" t="s">
        <v>773</v>
      </c>
      <c r="D125" s="276">
        <v>6.3</v>
      </c>
    </row>
    <row r="126" spans="1:4" s="261" customFormat="1" ht="15" customHeight="1" x14ac:dyDescent="0.2">
      <c r="A126" s="277">
        <v>22682</v>
      </c>
      <c r="B126" s="278" t="s">
        <v>776</v>
      </c>
      <c r="C126" s="279" t="s">
        <v>2797</v>
      </c>
      <c r="D126" s="280">
        <v>6</v>
      </c>
    </row>
    <row r="127" spans="1:4" s="261" customFormat="1" ht="15" customHeight="1" x14ac:dyDescent="0.2">
      <c r="A127" s="273">
        <v>22685</v>
      </c>
      <c r="B127" s="274" t="s">
        <v>774</v>
      </c>
      <c r="C127" s="275" t="s">
        <v>775</v>
      </c>
      <c r="D127" s="276">
        <v>7.75</v>
      </c>
    </row>
    <row r="128" spans="1:4" s="261" customFormat="1" ht="15" customHeight="1" x14ac:dyDescent="0.2">
      <c r="A128" s="273">
        <v>22679</v>
      </c>
      <c r="B128" s="274" t="s">
        <v>778</v>
      </c>
      <c r="C128" s="275" t="s">
        <v>779</v>
      </c>
      <c r="D128" s="276">
        <v>1.4336340756921031</v>
      </c>
    </row>
    <row r="129" spans="1:4" s="261" customFormat="1" ht="15" customHeight="1" x14ac:dyDescent="0.2">
      <c r="A129" s="273">
        <v>22999</v>
      </c>
      <c r="B129" s="274" t="s">
        <v>786</v>
      </c>
      <c r="C129" s="275" t="s">
        <v>787</v>
      </c>
      <c r="D129" s="276">
        <v>10.199999999999999</v>
      </c>
    </row>
    <row r="130" spans="1:4" s="261" customFormat="1" ht="15" customHeight="1" x14ac:dyDescent="0.2">
      <c r="A130" s="273">
        <v>22715</v>
      </c>
      <c r="B130" s="274" t="s">
        <v>802</v>
      </c>
      <c r="C130" s="292" t="s">
        <v>2798</v>
      </c>
      <c r="D130" s="276">
        <v>13.34</v>
      </c>
    </row>
    <row r="131" spans="1:4" s="261" customFormat="1" ht="13.5" x14ac:dyDescent="0.2">
      <c r="A131" s="273">
        <v>22718</v>
      </c>
      <c r="B131" s="274" t="s">
        <v>806</v>
      </c>
      <c r="C131" s="292" t="s">
        <v>1482</v>
      </c>
      <c r="D131" s="276">
        <v>7.13</v>
      </c>
    </row>
    <row r="132" spans="1:4" s="261" customFormat="1" ht="15" customHeight="1" x14ac:dyDescent="0.2">
      <c r="A132" s="277">
        <v>22085</v>
      </c>
      <c r="B132" s="278" t="s">
        <v>814</v>
      </c>
      <c r="C132" s="293" t="s">
        <v>2799</v>
      </c>
      <c r="D132" s="280">
        <v>1.51</v>
      </c>
    </row>
    <row r="133" spans="1:4" s="261" customFormat="1" ht="15" customHeight="1" x14ac:dyDescent="0.2">
      <c r="A133" s="273">
        <v>22752</v>
      </c>
      <c r="B133" s="274" t="s">
        <v>816</v>
      </c>
      <c r="C133" s="292" t="s">
        <v>817</v>
      </c>
      <c r="D133" s="276">
        <v>15.08</v>
      </c>
    </row>
    <row r="134" spans="1:4" s="261" customFormat="1" ht="15" customHeight="1" x14ac:dyDescent="0.2">
      <c r="A134" s="277">
        <v>22768</v>
      </c>
      <c r="B134" s="278" t="s">
        <v>818</v>
      </c>
      <c r="C134" s="293" t="s">
        <v>819</v>
      </c>
      <c r="D134" s="280">
        <v>4</v>
      </c>
    </row>
    <row r="135" spans="1:4" s="261" customFormat="1" ht="15" customHeight="1" x14ac:dyDescent="0.2">
      <c r="A135" s="273">
        <v>22793</v>
      </c>
      <c r="B135" s="274" t="s">
        <v>824</v>
      </c>
      <c r="C135" s="292" t="s">
        <v>825</v>
      </c>
      <c r="D135" s="276">
        <v>1.3</v>
      </c>
    </row>
    <row r="136" spans="1:4" s="261" customFormat="1" ht="15" customHeight="1" x14ac:dyDescent="0.2">
      <c r="A136" s="273">
        <v>22795</v>
      </c>
      <c r="B136" s="274" t="s">
        <v>826</v>
      </c>
      <c r="C136" s="292" t="s">
        <v>1483</v>
      </c>
      <c r="D136" s="276">
        <v>20</v>
      </c>
    </row>
    <row r="137" spans="1:4" s="261" customFormat="1" ht="15" customHeight="1" x14ac:dyDescent="0.2">
      <c r="A137" s="273">
        <v>22823</v>
      </c>
      <c r="B137" s="274" t="s">
        <v>830</v>
      </c>
      <c r="C137" s="292" t="s">
        <v>831</v>
      </c>
      <c r="D137" s="276">
        <v>11.4</v>
      </c>
    </row>
    <row r="138" spans="1:4" s="261" customFormat="1" ht="15" customHeight="1" x14ac:dyDescent="0.2">
      <c r="A138" s="273">
        <v>22836</v>
      </c>
      <c r="B138" s="274" t="s">
        <v>832</v>
      </c>
      <c r="C138" s="292" t="s">
        <v>833</v>
      </c>
      <c r="D138" s="276">
        <v>10.199999999999999</v>
      </c>
    </row>
    <row r="139" spans="1:4" s="261" customFormat="1" ht="15" customHeight="1" x14ac:dyDescent="0.2">
      <c r="A139" s="273">
        <v>22839</v>
      </c>
      <c r="B139" s="274" t="s">
        <v>834</v>
      </c>
      <c r="C139" s="292" t="s">
        <v>835</v>
      </c>
      <c r="D139" s="276">
        <v>7.1</v>
      </c>
    </row>
    <row r="140" spans="1:4" s="261" customFormat="1" ht="15" customHeight="1" x14ac:dyDescent="0.2">
      <c r="A140" s="273">
        <v>22879</v>
      </c>
      <c r="B140" s="274" t="s">
        <v>839</v>
      </c>
      <c r="C140" s="292" t="s">
        <v>840</v>
      </c>
      <c r="D140" s="276">
        <v>8.4</v>
      </c>
    </row>
    <row r="141" spans="1:4" s="261" customFormat="1" ht="15" customHeight="1" x14ac:dyDescent="0.2">
      <c r="A141" s="277">
        <v>22897</v>
      </c>
      <c r="B141" s="278" t="s">
        <v>841</v>
      </c>
      <c r="C141" s="293" t="s">
        <v>842</v>
      </c>
      <c r="D141" s="280">
        <v>7</v>
      </c>
    </row>
    <row r="142" spans="1:4" s="261" customFormat="1" ht="15" customHeight="1" x14ac:dyDescent="0.2">
      <c r="A142" s="273">
        <v>22900</v>
      </c>
      <c r="B142" s="274" t="s">
        <v>843</v>
      </c>
      <c r="C142" s="292" t="s">
        <v>844</v>
      </c>
      <c r="D142" s="276">
        <v>5</v>
      </c>
    </row>
    <row r="143" spans="1:4" s="261" customFormat="1" ht="15" customHeight="1" x14ac:dyDescent="0.2">
      <c r="A143" s="273">
        <v>22907</v>
      </c>
      <c r="B143" s="274" t="s">
        <v>845</v>
      </c>
      <c r="C143" s="292" t="s">
        <v>846</v>
      </c>
      <c r="D143" s="276">
        <v>3.7</v>
      </c>
    </row>
    <row r="144" spans="1:4" s="261" customFormat="1" ht="15" customHeight="1" x14ac:dyDescent="0.2">
      <c r="A144" s="277">
        <v>22920</v>
      </c>
      <c r="B144" s="278" t="s">
        <v>847</v>
      </c>
      <c r="C144" s="293" t="s">
        <v>848</v>
      </c>
      <c r="D144" s="280">
        <v>2.2000000000000002</v>
      </c>
    </row>
    <row r="145" spans="1:4" s="261" customFormat="1" ht="15" customHeight="1" x14ac:dyDescent="0.2">
      <c r="A145" s="273">
        <v>22925</v>
      </c>
      <c r="B145" s="274" t="s">
        <v>849</v>
      </c>
      <c r="C145" s="292" t="s">
        <v>850</v>
      </c>
      <c r="D145" s="294">
        <v>5.9</v>
      </c>
    </row>
    <row r="146" spans="1:4" s="261" customFormat="1" ht="15" customHeight="1" x14ac:dyDescent="0.2">
      <c r="A146" s="273">
        <v>22928</v>
      </c>
      <c r="B146" s="274" t="s">
        <v>851</v>
      </c>
      <c r="C146" s="292" t="s">
        <v>852</v>
      </c>
      <c r="D146" s="276">
        <v>4.75</v>
      </c>
    </row>
    <row r="147" spans="1:4" s="261" customFormat="1" ht="15" customHeight="1" x14ac:dyDescent="0.2">
      <c r="A147" s="281">
        <v>22946</v>
      </c>
      <c r="B147" s="282" t="s">
        <v>1454</v>
      </c>
      <c r="C147" s="283" t="s">
        <v>1484</v>
      </c>
      <c r="D147" s="276" t="s">
        <v>1456</v>
      </c>
    </row>
    <row r="148" spans="1:4" s="261" customFormat="1" ht="15" customHeight="1" x14ac:dyDescent="0.2">
      <c r="A148" s="277">
        <v>22949</v>
      </c>
      <c r="B148" s="278" t="s">
        <v>853</v>
      </c>
      <c r="C148" s="293" t="s">
        <v>854</v>
      </c>
      <c r="D148" s="280">
        <v>1.6</v>
      </c>
    </row>
    <row r="149" spans="1:4" s="261" customFormat="1" ht="15" customHeight="1" x14ac:dyDescent="0.2">
      <c r="A149" s="273">
        <v>22960</v>
      </c>
      <c r="B149" s="274" t="s">
        <v>857</v>
      </c>
      <c r="C149" s="292" t="s">
        <v>858</v>
      </c>
      <c r="D149" s="276">
        <v>2.74</v>
      </c>
    </row>
    <row r="150" spans="1:4" s="261" customFormat="1" ht="15" customHeight="1" x14ac:dyDescent="0.2">
      <c r="A150" s="273">
        <v>22954</v>
      </c>
      <c r="B150" s="274" t="s">
        <v>859</v>
      </c>
      <c r="C150" s="275" t="s">
        <v>281</v>
      </c>
      <c r="D150" s="276">
        <v>2.9</v>
      </c>
    </row>
    <row r="151" spans="1:4" s="261" customFormat="1" ht="15" customHeight="1" x14ac:dyDescent="0.2">
      <c r="A151" s="273">
        <v>21104</v>
      </c>
      <c r="B151" s="274" t="s">
        <v>396</v>
      </c>
      <c r="C151" s="275" t="s">
        <v>2800</v>
      </c>
      <c r="D151" s="276">
        <v>11</v>
      </c>
    </row>
    <row r="152" spans="1:4" s="261" customFormat="1" ht="15" customHeight="1" x14ac:dyDescent="0.2">
      <c r="A152" s="277">
        <v>21458</v>
      </c>
      <c r="B152" s="278" t="s">
        <v>869</v>
      </c>
      <c r="C152" s="293" t="s">
        <v>870</v>
      </c>
      <c r="D152" s="280">
        <v>9</v>
      </c>
    </row>
    <row r="153" spans="1:4" s="261" customFormat="1" ht="15" customHeight="1" x14ac:dyDescent="0.2">
      <c r="A153" s="295">
        <v>22992</v>
      </c>
      <c r="B153" s="296" t="s">
        <v>1485</v>
      </c>
      <c r="C153" s="297" t="s">
        <v>1486</v>
      </c>
      <c r="D153" s="276">
        <v>28.559999999999995</v>
      </c>
    </row>
    <row r="154" spans="1:4" s="261" customFormat="1" ht="15" customHeight="1" x14ac:dyDescent="0.2">
      <c r="A154" s="295"/>
      <c r="B154" s="296"/>
      <c r="C154" s="297"/>
      <c r="D154" s="276"/>
    </row>
    <row r="155" spans="1:4" s="261" customFormat="1" ht="15" customHeight="1" x14ac:dyDescent="0.2">
      <c r="A155" s="298"/>
      <c r="B155" s="299"/>
      <c r="C155" s="300" t="s">
        <v>292</v>
      </c>
      <c r="D155" s="301"/>
    </row>
    <row r="156" spans="1:4" s="261" customFormat="1" ht="15" customHeight="1" x14ac:dyDescent="0.2">
      <c r="A156" s="302">
        <v>24337</v>
      </c>
      <c r="B156" s="274" t="s">
        <v>903</v>
      </c>
      <c r="C156" s="303" t="s">
        <v>904</v>
      </c>
      <c r="D156" s="304">
        <v>5.31</v>
      </c>
    </row>
    <row r="157" spans="1:4" s="261" customFormat="1" ht="15" customHeight="1" x14ac:dyDescent="0.2">
      <c r="A157" s="273">
        <v>24410</v>
      </c>
      <c r="B157" s="274" t="s">
        <v>980</v>
      </c>
      <c r="C157" s="303" t="s">
        <v>1487</v>
      </c>
      <c r="D157" s="305">
        <v>1.5</v>
      </c>
    </row>
    <row r="158" spans="1:4" s="261" customFormat="1" ht="15" customHeight="1" x14ac:dyDescent="0.2">
      <c r="A158" s="273">
        <v>24145</v>
      </c>
      <c r="B158" s="274" t="s">
        <v>937</v>
      </c>
      <c r="C158" s="303" t="s">
        <v>938</v>
      </c>
      <c r="D158" s="305">
        <v>3.36</v>
      </c>
    </row>
    <row r="159" spans="1:4" s="261" customFormat="1" ht="15" customHeight="1" x14ac:dyDescent="0.2">
      <c r="A159" s="273">
        <v>24142</v>
      </c>
      <c r="B159" s="274" t="s">
        <v>939</v>
      </c>
      <c r="C159" s="303" t="s">
        <v>940</v>
      </c>
      <c r="D159" s="305">
        <v>3.0100000000000002</v>
      </c>
    </row>
    <row r="160" spans="1:4" s="261" customFormat="1" ht="15" customHeight="1" x14ac:dyDescent="0.2">
      <c r="A160" s="273">
        <v>24163</v>
      </c>
      <c r="B160" s="274" t="s">
        <v>941</v>
      </c>
      <c r="C160" s="303" t="s">
        <v>942</v>
      </c>
      <c r="D160" s="305">
        <v>10.199999999999999</v>
      </c>
    </row>
    <row r="161" spans="1:4" s="261" customFormat="1" ht="15" customHeight="1" x14ac:dyDescent="0.2">
      <c r="A161" s="273">
        <v>24184</v>
      </c>
      <c r="B161" s="274" t="s">
        <v>947</v>
      </c>
      <c r="C161" s="303" t="s">
        <v>948</v>
      </c>
      <c r="D161" s="305">
        <v>8.4699999999999989</v>
      </c>
    </row>
    <row r="162" spans="1:4" s="261" customFormat="1" ht="15" customHeight="1" x14ac:dyDescent="0.2">
      <c r="A162" s="273">
        <v>24187</v>
      </c>
      <c r="B162" s="274" t="s">
        <v>950</v>
      </c>
      <c r="C162" s="303" t="s">
        <v>2801</v>
      </c>
      <c r="D162" s="305">
        <v>5.5600000000000005</v>
      </c>
    </row>
    <row r="163" spans="1:4" s="261" customFormat="1" ht="15" customHeight="1" x14ac:dyDescent="0.2">
      <c r="A163" s="273">
        <v>24390</v>
      </c>
      <c r="B163" s="274" t="s">
        <v>956</v>
      </c>
      <c r="C163" s="303" t="s">
        <v>957</v>
      </c>
      <c r="D163" s="305">
        <v>8</v>
      </c>
    </row>
    <row r="164" spans="1:4" s="261" customFormat="1" ht="15" customHeight="1" x14ac:dyDescent="0.2">
      <c r="A164" s="273">
        <v>24197</v>
      </c>
      <c r="B164" s="274" t="s">
        <v>928</v>
      </c>
      <c r="C164" s="303" t="s">
        <v>1488</v>
      </c>
      <c r="D164" s="305">
        <v>13.17</v>
      </c>
    </row>
    <row r="165" spans="1:4" s="261" customFormat="1" ht="15" customHeight="1" x14ac:dyDescent="0.2">
      <c r="A165" s="306">
        <v>24201</v>
      </c>
      <c r="B165" s="307" t="s">
        <v>1489</v>
      </c>
      <c r="C165" s="286" t="s">
        <v>2802</v>
      </c>
      <c r="D165" s="305">
        <v>10.199999999999999</v>
      </c>
    </row>
    <row r="166" spans="1:4" s="261" customFormat="1" ht="27" x14ac:dyDescent="0.2">
      <c r="A166" s="273">
        <v>24209</v>
      </c>
      <c r="B166" s="274" t="s">
        <v>966</v>
      </c>
      <c r="C166" s="303" t="s">
        <v>967</v>
      </c>
      <c r="D166" s="305">
        <v>5</v>
      </c>
    </row>
    <row r="167" spans="1:4" s="261" customFormat="1" ht="15" customHeight="1" x14ac:dyDescent="0.2">
      <c r="A167" s="308">
        <v>24415</v>
      </c>
      <c r="B167" s="309" t="s">
        <v>1454</v>
      </c>
      <c r="C167" s="283" t="s">
        <v>1490</v>
      </c>
      <c r="D167" s="305" t="s">
        <v>1456</v>
      </c>
    </row>
    <row r="168" spans="1:4" s="261" customFormat="1" ht="15" customHeight="1" x14ac:dyDescent="0.2">
      <c r="A168" s="273">
        <v>24316</v>
      </c>
      <c r="B168" s="274" t="s">
        <v>990</v>
      </c>
      <c r="C168" s="303" t="s">
        <v>1491</v>
      </c>
      <c r="D168" s="305">
        <v>2.2000000000000002</v>
      </c>
    </row>
    <row r="169" spans="1:4" s="261" customFormat="1" ht="15" customHeight="1" x14ac:dyDescent="0.2">
      <c r="A169" s="273">
        <v>24030</v>
      </c>
      <c r="B169" s="274" t="s">
        <v>901</v>
      </c>
      <c r="C169" s="303" t="s">
        <v>902</v>
      </c>
      <c r="D169" s="305">
        <v>1.87</v>
      </c>
    </row>
    <row r="170" spans="1:4" s="261" customFormat="1" ht="15" customHeight="1" x14ac:dyDescent="0.2">
      <c r="A170" s="277">
        <v>24380</v>
      </c>
      <c r="B170" s="278" t="s">
        <v>996</v>
      </c>
      <c r="C170" s="310" t="s">
        <v>997</v>
      </c>
      <c r="D170" s="280">
        <v>1.25</v>
      </c>
    </row>
    <row r="171" spans="1:4" s="261" customFormat="1" ht="15" customHeight="1" x14ac:dyDescent="0.2">
      <c r="A171" s="311"/>
      <c r="B171" s="312"/>
      <c r="C171" s="313"/>
      <c r="D171" s="314"/>
    </row>
    <row r="172" spans="1:4" s="261" customFormat="1" ht="15" customHeight="1" x14ac:dyDescent="0.2">
      <c r="A172" s="298"/>
      <c r="B172" s="315"/>
      <c r="C172" s="316" t="s">
        <v>295</v>
      </c>
      <c r="D172" s="317"/>
    </row>
    <row r="173" spans="1:4" s="261" customFormat="1" ht="27" x14ac:dyDescent="0.2">
      <c r="A173" s="273">
        <v>24011</v>
      </c>
      <c r="B173" s="274" t="s">
        <v>1002</v>
      </c>
      <c r="C173" s="303" t="s">
        <v>1492</v>
      </c>
      <c r="D173" s="305">
        <v>18.100000000000001</v>
      </c>
    </row>
    <row r="174" spans="1:4" s="261" customFormat="1" ht="15" customHeight="1" x14ac:dyDescent="0.2">
      <c r="A174" s="273">
        <v>24023</v>
      </c>
      <c r="B174" s="274" t="s">
        <v>1008</v>
      </c>
      <c r="C174" s="303" t="s">
        <v>1009</v>
      </c>
      <c r="D174" s="305">
        <v>5.3100000000000005</v>
      </c>
    </row>
    <row r="175" spans="1:4" s="261" customFormat="1" ht="15" customHeight="1" x14ac:dyDescent="0.2">
      <c r="A175" s="318">
        <v>24055</v>
      </c>
      <c r="B175" s="307" t="s">
        <v>1493</v>
      </c>
      <c r="C175" s="286" t="s">
        <v>1494</v>
      </c>
      <c r="D175" s="305">
        <v>14.29</v>
      </c>
    </row>
    <row r="176" spans="1:4" s="261" customFormat="1" ht="15" customHeight="1" x14ac:dyDescent="0.2">
      <c r="A176" s="318">
        <v>24043</v>
      </c>
      <c r="B176" s="307" t="s">
        <v>1010</v>
      </c>
      <c r="C176" s="286" t="s">
        <v>1495</v>
      </c>
      <c r="D176" s="319">
        <v>11.85</v>
      </c>
    </row>
    <row r="177" spans="1:4" s="261" customFormat="1" ht="15" customHeight="1" x14ac:dyDescent="0.2">
      <c r="A177" s="273">
        <v>24077</v>
      </c>
      <c r="B177" s="274" t="s">
        <v>1014</v>
      </c>
      <c r="C177" s="303" t="s">
        <v>1015</v>
      </c>
      <c r="D177" s="305">
        <v>3.36</v>
      </c>
    </row>
    <row r="178" spans="1:4" s="261" customFormat="1" ht="15" customHeight="1" x14ac:dyDescent="0.2">
      <c r="A178" s="273">
        <v>24101</v>
      </c>
      <c r="B178" s="274" t="s">
        <v>1029</v>
      </c>
      <c r="C178" s="303" t="s">
        <v>1030</v>
      </c>
      <c r="D178" s="305">
        <v>15.03</v>
      </c>
    </row>
    <row r="179" spans="1:4" s="261" customFormat="1" ht="15" customHeight="1" x14ac:dyDescent="0.2">
      <c r="A179" s="273">
        <v>24092</v>
      </c>
      <c r="B179" s="274" t="s">
        <v>1027</v>
      </c>
      <c r="C179" s="303" t="s">
        <v>1028</v>
      </c>
      <c r="D179" s="305">
        <v>9.31</v>
      </c>
    </row>
    <row r="180" spans="1:4" s="261" customFormat="1" ht="27" x14ac:dyDescent="0.2">
      <c r="A180" s="320">
        <v>24260</v>
      </c>
      <c r="B180" s="309" t="s">
        <v>1454</v>
      </c>
      <c r="C180" s="283" t="s">
        <v>1496</v>
      </c>
      <c r="D180" s="305" t="s">
        <v>1456</v>
      </c>
    </row>
    <row r="181" spans="1:4" s="261" customFormat="1" ht="15" customHeight="1" x14ac:dyDescent="0.2">
      <c r="A181" s="273">
        <v>24295</v>
      </c>
      <c r="B181" s="274" t="s">
        <v>1050</v>
      </c>
      <c r="C181" s="303" t="s">
        <v>1051</v>
      </c>
      <c r="D181" s="305">
        <v>27.159999999999997</v>
      </c>
    </row>
    <row r="182" spans="1:4" s="261" customFormat="1" ht="15" customHeight="1" x14ac:dyDescent="0.2">
      <c r="A182" s="273">
        <v>24297</v>
      </c>
      <c r="B182" s="274" t="s">
        <v>1052</v>
      </c>
      <c r="C182" s="303" t="s">
        <v>1053</v>
      </c>
      <c r="D182" s="305">
        <v>22.259999999999998</v>
      </c>
    </row>
    <row r="183" spans="1:4" s="261" customFormat="1" ht="15" customHeight="1" x14ac:dyDescent="0.2">
      <c r="A183" s="273">
        <v>24298</v>
      </c>
      <c r="B183" s="274" t="s">
        <v>1054</v>
      </c>
      <c r="C183" s="303" t="s">
        <v>1055</v>
      </c>
      <c r="D183" s="305">
        <v>25.62</v>
      </c>
    </row>
    <row r="184" spans="1:4" s="261" customFormat="1" ht="15" customHeight="1" x14ac:dyDescent="0.2">
      <c r="A184" s="277">
        <v>24347</v>
      </c>
      <c r="B184" s="278" t="s">
        <v>1058</v>
      </c>
      <c r="C184" s="310" t="s">
        <v>1059</v>
      </c>
      <c r="D184" s="280">
        <v>3.9</v>
      </c>
    </row>
    <row r="185" spans="1:4" s="261" customFormat="1" ht="15" customHeight="1" x14ac:dyDescent="0.2">
      <c r="A185" s="273">
        <v>24359</v>
      </c>
      <c r="B185" s="274" t="s">
        <v>1064</v>
      </c>
      <c r="C185" s="303" t="s">
        <v>1065</v>
      </c>
      <c r="D185" s="305">
        <v>3.2199999999999998</v>
      </c>
    </row>
    <row r="186" spans="1:4" s="261" customFormat="1" ht="15" customHeight="1" x14ac:dyDescent="0.2">
      <c r="A186" s="273"/>
      <c r="B186" s="274"/>
      <c r="C186" s="303"/>
      <c r="D186" s="305"/>
    </row>
    <row r="187" spans="1:4" s="261" customFormat="1" ht="15" customHeight="1" x14ac:dyDescent="0.2">
      <c r="A187" s="298"/>
      <c r="B187" s="299"/>
      <c r="C187" s="300" t="s">
        <v>296</v>
      </c>
      <c r="D187" s="301"/>
    </row>
    <row r="188" spans="1:4" s="261" customFormat="1" ht="15" customHeight="1" x14ac:dyDescent="0.2">
      <c r="A188" s="273">
        <v>25023</v>
      </c>
      <c r="B188" s="274" t="s">
        <v>1081</v>
      </c>
      <c r="C188" s="303" t="s">
        <v>1497</v>
      </c>
      <c r="D188" s="305">
        <v>8.19</v>
      </c>
    </row>
    <row r="189" spans="1:4" s="261" customFormat="1" ht="15" customHeight="1" x14ac:dyDescent="0.2">
      <c r="A189" s="308">
        <v>25424</v>
      </c>
      <c r="B189" s="309" t="s">
        <v>1454</v>
      </c>
      <c r="C189" s="283" t="s">
        <v>2803</v>
      </c>
      <c r="D189" s="321" t="s">
        <v>1456</v>
      </c>
    </row>
    <row r="190" spans="1:4" s="261" customFormat="1" ht="15" customHeight="1" x14ac:dyDescent="0.2">
      <c r="A190" s="273">
        <v>25017</v>
      </c>
      <c r="B190" s="274" t="s">
        <v>1071</v>
      </c>
      <c r="C190" s="303" t="s">
        <v>1072</v>
      </c>
      <c r="D190" s="305">
        <v>13</v>
      </c>
    </row>
    <row r="191" spans="1:4" s="261" customFormat="1" ht="15" customHeight="1" x14ac:dyDescent="0.2">
      <c r="A191" s="273">
        <v>25019</v>
      </c>
      <c r="B191" s="274" t="s">
        <v>1077</v>
      </c>
      <c r="C191" s="303" t="s">
        <v>1078</v>
      </c>
      <c r="D191" s="305">
        <v>13</v>
      </c>
    </row>
    <row r="192" spans="1:4" s="261" customFormat="1" ht="15" customHeight="1" x14ac:dyDescent="0.2">
      <c r="A192" s="308">
        <v>25357</v>
      </c>
      <c r="B192" s="309" t="s">
        <v>1454</v>
      </c>
      <c r="C192" s="283" t="s">
        <v>2804</v>
      </c>
      <c r="D192" s="321" t="s">
        <v>1456</v>
      </c>
    </row>
    <row r="193" spans="1:4" s="261" customFormat="1" ht="15" customHeight="1" x14ac:dyDescent="0.2">
      <c r="A193" s="308">
        <v>25033</v>
      </c>
      <c r="B193" s="309" t="s">
        <v>1454</v>
      </c>
      <c r="C193" s="283" t="s">
        <v>2805</v>
      </c>
      <c r="D193" s="321" t="s">
        <v>1456</v>
      </c>
    </row>
    <row r="194" spans="1:4" s="261" customFormat="1" ht="15" customHeight="1" x14ac:dyDescent="0.2">
      <c r="A194" s="273">
        <v>25041</v>
      </c>
      <c r="B194" s="274" t="s">
        <v>1087</v>
      </c>
      <c r="C194" s="303" t="s">
        <v>1088</v>
      </c>
      <c r="D194" s="305">
        <v>11.164999999999999</v>
      </c>
    </row>
    <row r="195" spans="1:4" s="261" customFormat="1" ht="15" customHeight="1" x14ac:dyDescent="0.2">
      <c r="A195" s="308">
        <v>25050</v>
      </c>
      <c r="B195" s="309" t="s">
        <v>1454</v>
      </c>
      <c r="C195" s="283" t="s">
        <v>1498</v>
      </c>
      <c r="D195" s="321" t="s">
        <v>1456</v>
      </c>
    </row>
    <row r="196" spans="1:4" s="261" customFormat="1" ht="15" customHeight="1" x14ac:dyDescent="0.2">
      <c r="A196" s="273">
        <v>25048</v>
      </c>
      <c r="B196" s="274" t="s">
        <v>1093</v>
      </c>
      <c r="C196" s="303" t="s">
        <v>2806</v>
      </c>
      <c r="D196" s="305">
        <v>9.5899999999999981</v>
      </c>
    </row>
    <row r="197" spans="1:4" s="261" customFormat="1" ht="15" customHeight="1" x14ac:dyDescent="0.2">
      <c r="A197" s="273">
        <v>25054</v>
      </c>
      <c r="B197" s="274" t="s">
        <v>1097</v>
      </c>
      <c r="C197" s="303" t="s">
        <v>2807</v>
      </c>
      <c r="D197" s="305">
        <v>13</v>
      </c>
    </row>
    <row r="198" spans="1:4" s="261" customFormat="1" ht="15" customHeight="1" x14ac:dyDescent="0.2">
      <c r="A198" s="273">
        <v>25057</v>
      </c>
      <c r="B198" s="274" t="s">
        <v>1109</v>
      </c>
      <c r="C198" s="303" t="s">
        <v>2808</v>
      </c>
      <c r="D198" s="305">
        <v>13.17</v>
      </c>
    </row>
    <row r="199" spans="1:4" s="261" customFormat="1" ht="27" x14ac:dyDescent="0.2">
      <c r="A199" s="273">
        <v>25520</v>
      </c>
      <c r="B199" s="274" t="s">
        <v>1107</v>
      </c>
      <c r="C199" s="303" t="s">
        <v>2809</v>
      </c>
      <c r="D199" s="305">
        <v>11.339999999999998</v>
      </c>
    </row>
    <row r="200" spans="1:4" s="261" customFormat="1" ht="15" customHeight="1" x14ac:dyDescent="0.2">
      <c r="A200" s="322">
        <v>25440</v>
      </c>
      <c r="B200" s="323" t="s">
        <v>1499</v>
      </c>
      <c r="C200" s="297" t="s">
        <v>2810</v>
      </c>
      <c r="D200" s="305">
        <v>15.959999999999999</v>
      </c>
    </row>
    <row r="201" spans="1:4" s="261" customFormat="1" ht="15" customHeight="1" x14ac:dyDescent="0.2">
      <c r="A201" s="308">
        <v>25550</v>
      </c>
      <c r="B201" s="309" t="s">
        <v>1454</v>
      </c>
      <c r="C201" s="283" t="s">
        <v>2811</v>
      </c>
      <c r="D201" s="324" t="s">
        <v>1456</v>
      </c>
    </row>
    <row r="202" spans="1:4" s="261" customFormat="1" ht="15" customHeight="1" x14ac:dyDescent="0.2">
      <c r="A202" s="273">
        <v>25071</v>
      </c>
      <c r="B202" s="274" t="s">
        <v>1121</v>
      </c>
      <c r="C202" s="303" t="s">
        <v>2812</v>
      </c>
      <c r="D202" s="305">
        <v>6.2299999999999995</v>
      </c>
    </row>
    <row r="203" spans="1:4" s="261" customFormat="1" ht="15" customHeight="1" x14ac:dyDescent="0.2">
      <c r="A203" s="273">
        <v>25070</v>
      </c>
      <c r="B203" s="274" t="s">
        <v>1119</v>
      </c>
      <c r="C203" s="303" t="s">
        <v>2813</v>
      </c>
      <c r="D203" s="305">
        <v>6.2299999999999995</v>
      </c>
    </row>
    <row r="204" spans="1:4" s="261" customFormat="1" ht="15" customHeight="1" x14ac:dyDescent="0.2">
      <c r="A204" s="325">
        <v>25075</v>
      </c>
      <c r="B204" s="326" t="s">
        <v>1500</v>
      </c>
      <c r="C204" s="286" t="s">
        <v>2814</v>
      </c>
      <c r="D204" s="305">
        <v>7.77</v>
      </c>
    </row>
    <row r="205" spans="1:4" s="261" customFormat="1" ht="27" x14ac:dyDescent="0.2">
      <c r="A205" s="273">
        <v>25207</v>
      </c>
      <c r="B205" s="274" t="s">
        <v>1123</v>
      </c>
      <c r="C205" s="303" t="s">
        <v>1501</v>
      </c>
      <c r="D205" s="305">
        <v>13.579999999999998</v>
      </c>
    </row>
    <row r="206" spans="1:4" s="261" customFormat="1" ht="27" x14ac:dyDescent="0.2">
      <c r="A206" s="273">
        <v>25206</v>
      </c>
      <c r="B206" s="274" t="s">
        <v>1125</v>
      </c>
      <c r="C206" s="303" t="s">
        <v>1502</v>
      </c>
      <c r="D206" s="305">
        <v>15.12</v>
      </c>
    </row>
    <row r="207" spans="1:4" s="261" customFormat="1" ht="15" customHeight="1" x14ac:dyDescent="0.2">
      <c r="A207" s="273">
        <v>25083</v>
      </c>
      <c r="B207" s="274" t="s">
        <v>1127</v>
      </c>
      <c r="C207" s="303" t="s">
        <v>1503</v>
      </c>
      <c r="D207" s="305">
        <v>4.8999999999999995</v>
      </c>
    </row>
    <row r="208" spans="1:4" s="261" customFormat="1" ht="15" customHeight="1" x14ac:dyDescent="0.2">
      <c r="A208" s="273">
        <v>25247</v>
      </c>
      <c r="B208" s="274" t="s">
        <v>1131</v>
      </c>
      <c r="C208" s="303" t="s">
        <v>2815</v>
      </c>
      <c r="D208" s="305">
        <v>28.38</v>
      </c>
    </row>
    <row r="209" spans="1:5" s="327" customFormat="1" ht="15" customHeight="1" x14ac:dyDescent="0.2">
      <c r="A209" s="273">
        <v>25250</v>
      </c>
      <c r="B209" s="274" t="s">
        <v>1504</v>
      </c>
      <c r="C209" s="303" t="s">
        <v>1505</v>
      </c>
      <c r="D209" s="304">
        <v>37.64</v>
      </c>
      <c r="E209" s="261"/>
    </row>
    <row r="210" spans="1:5" s="261" customFormat="1" ht="15" customHeight="1" x14ac:dyDescent="0.2">
      <c r="A210" s="273">
        <v>25096</v>
      </c>
      <c r="B210" s="274" t="s">
        <v>1135</v>
      </c>
      <c r="C210" s="303" t="s">
        <v>1506</v>
      </c>
      <c r="D210" s="305">
        <v>4.13</v>
      </c>
    </row>
    <row r="211" spans="1:5" s="261" customFormat="1" ht="15" customHeight="1" x14ac:dyDescent="0.2">
      <c r="A211" s="273">
        <v>25119</v>
      </c>
      <c r="B211" s="274" t="s">
        <v>1143</v>
      </c>
      <c r="C211" s="303" t="s">
        <v>1144</v>
      </c>
      <c r="D211" s="305">
        <v>3.6399999999999997</v>
      </c>
    </row>
    <row r="212" spans="1:5" s="261" customFormat="1" ht="15" customHeight="1" x14ac:dyDescent="0.2">
      <c r="A212" s="273">
        <v>25120</v>
      </c>
      <c r="B212" s="274" t="s">
        <v>1145</v>
      </c>
      <c r="C212" s="303" t="s">
        <v>1146</v>
      </c>
      <c r="D212" s="305">
        <v>3.6399999999999997</v>
      </c>
    </row>
    <row r="213" spans="1:5" s="261" customFormat="1" ht="15" customHeight="1" x14ac:dyDescent="0.2">
      <c r="A213" s="273">
        <v>25571</v>
      </c>
      <c r="B213" s="274" t="s">
        <v>1139</v>
      </c>
      <c r="C213" s="303" t="s">
        <v>1507</v>
      </c>
      <c r="D213" s="305">
        <v>6.2299999999999995</v>
      </c>
    </row>
    <row r="214" spans="1:5" s="261" customFormat="1" ht="15" customHeight="1" x14ac:dyDescent="0.2">
      <c r="A214" s="273">
        <v>25137</v>
      </c>
      <c r="B214" s="274" t="s">
        <v>1151</v>
      </c>
      <c r="C214" s="303" t="s">
        <v>1152</v>
      </c>
      <c r="D214" s="305">
        <v>8.4600000000000009</v>
      </c>
    </row>
    <row r="215" spans="1:5" s="261" customFormat="1" ht="15" customHeight="1" x14ac:dyDescent="0.2">
      <c r="A215" s="273">
        <v>25185</v>
      </c>
      <c r="B215" s="274" t="s">
        <v>1508</v>
      </c>
      <c r="C215" s="303" t="s">
        <v>2816</v>
      </c>
      <c r="D215" s="305">
        <v>2.3199999999999998</v>
      </c>
    </row>
    <row r="216" spans="1:5" s="261" customFormat="1" ht="15" customHeight="1" x14ac:dyDescent="0.2">
      <c r="A216" s="273">
        <v>25270</v>
      </c>
      <c r="B216" s="274" t="s">
        <v>1166</v>
      </c>
      <c r="C216" s="303" t="s">
        <v>1509</v>
      </c>
      <c r="D216" s="305">
        <v>3.7099999999999995</v>
      </c>
    </row>
    <row r="217" spans="1:5" s="261" customFormat="1" ht="15" customHeight="1" x14ac:dyDescent="0.2">
      <c r="A217" s="273">
        <v>25258</v>
      </c>
      <c r="B217" s="274" t="s">
        <v>1164</v>
      </c>
      <c r="C217" s="303" t="s">
        <v>1510</v>
      </c>
      <c r="D217" s="305">
        <v>6.3</v>
      </c>
    </row>
    <row r="218" spans="1:5" s="261" customFormat="1" ht="15" customHeight="1" x14ac:dyDescent="0.2">
      <c r="A218" s="273">
        <v>25271</v>
      </c>
      <c r="B218" s="274" t="s">
        <v>1168</v>
      </c>
      <c r="C218" s="303" t="s">
        <v>1511</v>
      </c>
      <c r="D218" s="305">
        <v>3.7099999999999995</v>
      </c>
    </row>
    <row r="219" spans="1:5" s="261" customFormat="1" ht="15" customHeight="1" x14ac:dyDescent="0.2">
      <c r="A219" s="273">
        <v>25272</v>
      </c>
      <c r="B219" s="274" t="s">
        <v>1170</v>
      </c>
      <c r="C219" s="303" t="s">
        <v>1512</v>
      </c>
      <c r="D219" s="305">
        <v>3.7099999999999995</v>
      </c>
    </row>
    <row r="220" spans="1:5" s="261" customFormat="1" ht="15" customHeight="1" x14ac:dyDescent="0.2">
      <c r="A220" s="325">
        <v>25262</v>
      </c>
      <c r="B220" s="326" t="s">
        <v>1513</v>
      </c>
      <c r="C220" s="286" t="s">
        <v>2817</v>
      </c>
      <c r="D220" s="305">
        <v>12.4</v>
      </c>
    </row>
    <row r="221" spans="1:5" s="261" customFormat="1" ht="15" customHeight="1" x14ac:dyDescent="0.2">
      <c r="A221" s="308">
        <v>25263</v>
      </c>
      <c r="B221" s="309" t="s">
        <v>1454</v>
      </c>
      <c r="C221" s="283" t="s">
        <v>1514</v>
      </c>
      <c r="D221" s="321" t="s">
        <v>1456</v>
      </c>
    </row>
    <row r="222" spans="1:5" s="261" customFormat="1" ht="15" customHeight="1" x14ac:dyDescent="0.2">
      <c r="A222" s="308">
        <v>25265</v>
      </c>
      <c r="B222" s="309" t="s">
        <v>1454</v>
      </c>
      <c r="C222" s="283" t="s">
        <v>1515</v>
      </c>
      <c r="D222" s="321" t="s">
        <v>1456</v>
      </c>
    </row>
    <row r="223" spans="1:5" s="261" customFormat="1" ht="15" customHeight="1" x14ac:dyDescent="0.2">
      <c r="A223" s="273">
        <v>25275</v>
      </c>
      <c r="B223" s="274" t="s">
        <v>1173</v>
      </c>
      <c r="C223" s="303" t="s">
        <v>2818</v>
      </c>
      <c r="D223" s="305">
        <v>13.37</v>
      </c>
    </row>
    <row r="224" spans="1:5" s="261" customFormat="1" ht="15" customHeight="1" x14ac:dyDescent="0.2">
      <c r="A224" s="273"/>
      <c r="B224" s="274"/>
      <c r="C224" s="328" t="s">
        <v>1182</v>
      </c>
      <c r="D224" s="305"/>
    </row>
    <row r="225" spans="1:4" s="261" customFormat="1" ht="67.5" x14ac:dyDescent="0.2">
      <c r="A225" s="273"/>
      <c r="B225" s="274"/>
      <c r="C225" s="303" t="s">
        <v>2819</v>
      </c>
      <c r="D225" s="305"/>
    </row>
    <row r="226" spans="1:4" s="261" customFormat="1" ht="15" customHeight="1" x14ac:dyDescent="0.2">
      <c r="A226" s="273"/>
      <c r="B226" s="274"/>
      <c r="C226" s="328" t="s">
        <v>1183</v>
      </c>
      <c r="D226" s="305"/>
    </row>
    <row r="227" spans="1:4" s="261" customFormat="1" ht="27" x14ac:dyDescent="0.2">
      <c r="A227" s="273">
        <v>25701</v>
      </c>
      <c r="B227" s="274" t="s">
        <v>1184</v>
      </c>
      <c r="C227" s="303" t="s">
        <v>1185</v>
      </c>
      <c r="D227" s="305">
        <v>15.38</v>
      </c>
    </row>
    <row r="228" spans="1:4" s="261" customFormat="1" ht="27" x14ac:dyDescent="0.2">
      <c r="A228" s="273">
        <v>25702</v>
      </c>
      <c r="B228" s="274" t="s">
        <v>1186</v>
      </c>
      <c r="C228" s="329" t="s">
        <v>1187</v>
      </c>
      <c r="D228" s="289">
        <v>26.21</v>
      </c>
    </row>
    <row r="229" spans="1:4" s="261" customFormat="1" ht="15" customHeight="1" x14ac:dyDescent="0.2">
      <c r="A229" s="273"/>
      <c r="B229" s="274"/>
      <c r="C229" s="330" t="s">
        <v>1516</v>
      </c>
      <c r="D229" s="331"/>
    </row>
    <row r="230" spans="1:4" s="261" customFormat="1" ht="27" x14ac:dyDescent="0.2">
      <c r="A230" s="332">
        <v>25704</v>
      </c>
      <c r="B230" s="326" t="s">
        <v>1517</v>
      </c>
      <c r="C230" s="286" t="s">
        <v>1518</v>
      </c>
      <c r="D230" s="289">
        <v>110.88</v>
      </c>
    </row>
    <row r="231" spans="1:4" s="261" customFormat="1" ht="27" x14ac:dyDescent="0.2">
      <c r="A231" s="273"/>
      <c r="B231" s="274"/>
      <c r="C231" s="328" t="s">
        <v>1188</v>
      </c>
      <c r="D231" s="305"/>
    </row>
    <row r="232" spans="1:4" s="261" customFormat="1" ht="15" customHeight="1" x14ac:dyDescent="0.2">
      <c r="A232" s="273">
        <v>25312</v>
      </c>
      <c r="B232" s="274" t="s">
        <v>1189</v>
      </c>
      <c r="C232" s="303" t="s">
        <v>1190</v>
      </c>
      <c r="D232" s="305">
        <v>35.130000000000003</v>
      </c>
    </row>
    <row r="233" spans="1:4" s="261" customFormat="1" ht="15" customHeight="1" x14ac:dyDescent="0.2">
      <c r="A233" s="273"/>
      <c r="B233" s="274"/>
      <c r="C233" s="329"/>
      <c r="D233" s="305"/>
    </row>
    <row r="234" spans="1:4" s="261" customFormat="1" ht="15" customHeight="1" x14ac:dyDescent="0.2">
      <c r="A234" s="298"/>
      <c r="B234" s="299"/>
      <c r="C234" s="300" t="s">
        <v>301</v>
      </c>
      <c r="D234" s="301"/>
    </row>
    <row r="235" spans="1:4" s="261" customFormat="1" ht="15" customHeight="1" x14ac:dyDescent="0.2">
      <c r="A235" s="273"/>
      <c r="B235" s="333"/>
      <c r="C235" s="334" t="s">
        <v>302</v>
      </c>
      <c r="D235" s="305"/>
    </row>
    <row r="236" spans="1:4" s="261" customFormat="1" ht="27" x14ac:dyDescent="0.2">
      <c r="A236" s="273"/>
      <c r="B236" s="333"/>
      <c r="C236" s="335" t="s">
        <v>1196</v>
      </c>
      <c r="D236" s="305"/>
    </row>
    <row r="237" spans="1:4" s="261" customFormat="1" ht="15" customHeight="1" x14ac:dyDescent="0.2">
      <c r="A237" s="273">
        <v>26041</v>
      </c>
      <c r="B237" s="274" t="s">
        <v>1197</v>
      </c>
      <c r="C237" s="303" t="s">
        <v>1198</v>
      </c>
      <c r="D237" s="305">
        <v>15.12</v>
      </c>
    </row>
    <row r="238" spans="1:4" s="261" customFormat="1" ht="15" customHeight="1" x14ac:dyDescent="0.2">
      <c r="A238" s="273">
        <v>26045</v>
      </c>
      <c r="B238" s="274" t="s">
        <v>1199</v>
      </c>
      <c r="C238" s="303" t="s">
        <v>1200</v>
      </c>
      <c r="D238" s="305">
        <v>15.12</v>
      </c>
    </row>
    <row r="239" spans="1:4" s="261" customFormat="1" ht="15" customHeight="1" x14ac:dyDescent="0.2">
      <c r="A239" s="273">
        <v>26047</v>
      </c>
      <c r="B239" s="274" t="s">
        <v>1201</v>
      </c>
      <c r="C239" s="303" t="s">
        <v>1202</v>
      </c>
      <c r="D239" s="305">
        <v>15.12</v>
      </c>
    </row>
    <row r="240" spans="1:4" s="261" customFormat="1" ht="15" customHeight="1" x14ac:dyDescent="0.2">
      <c r="A240" s="273">
        <v>26076</v>
      </c>
      <c r="B240" s="274" t="s">
        <v>1211</v>
      </c>
      <c r="C240" s="303" t="s">
        <v>1212</v>
      </c>
      <c r="D240" s="305">
        <v>14.07</v>
      </c>
    </row>
    <row r="241" spans="1:180" s="261" customFormat="1" ht="15" customHeight="1" x14ac:dyDescent="0.2">
      <c r="A241" s="273">
        <v>26074</v>
      </c>
      <c r="B241" s="274" t="s">
        <v>1205</v>
      </c>
      <c r="C241" s="303" t="s">
        <v>1206</v>
      </c>
      <c r="D241" s="305">
        <v>8.0499999999999989</v>
      </c>
      <c r="F241" s="336"/>
      <c r="G241" s="336"/>
      <c r="H241" s="336"/>
      <c r="I241" s="336"/>
      <c r="J241" s="336"/>
      <c r="K241" s="336"/>
      <c r="L241" s="336"/>
      <c r="M241" s="336"/>
      <c r="N241" s="336"/>
      <c r="O241" s="336"/>
      <c r="P241" s="336"/>
      <c r="Q241" s="336"/>
      <c r="R241" s="336"/>
      <c r="S241" s="336"/>
      <c r="T241" s="336"/>
      <c r="U241" s="336"/>
      <c r="V241" s="336"/>
      <c r="W241" s="336"/>
      <c r="X241" s="336"/>
      <c r="Y241" s="336"/>
      <c r="Z241" s="336"/>
      <c r="AA241" s="336"/>
      <c r="AB241" s="336"/>
      <c r="AC241" s="336"/>
      <c r="AD241" s="336"/>
      <c r="AE241" s="336"/>
      <c r="AF241" s="336"/>
      <c r="AG241" s="336"/>
      <c r="AH241" s="336"/>
      <c r="AI241" s="336"/>
      <c r="AJ241" s="336"/>
      <c r="AK241" s="336"/>
      <c r="AL241" s="336"/>
      <c r="AM241" s="336"/>
      <c r="AN241" s="336"/>
      <c r="AO241" s="336"/>
      <c r="AP241" s="336"/>
      <c r="AQ241" s="336"/>
      <c r="AR241" s="336"/>
      <c r="AS241" s="336"/>
      <c r="AT241" s="336"/>
      <c r="AU241" s="336"/>
      <c r="AV241" s="336"/>
      <c r="AW241" s="336"/>
      <c r="AX241" s="336"/>
      <c r="AY241" s="336"/>
      <c r="AZ241" s="336"/>
      <c r="BA241" s="336"/>
      <c r="BB241" s="336"/>
      <c r="BC241" s="336"/>
      <c r="BD241" s="336"/>
      <c r="BE241" s="336"/>
      <c r="BF241" s="336"/>
      <c r="BG241" s="336"/>
      <c r="BH241" s="336"/>
      <c r="BI241" s="336"/>
      <c r="BJ241" s="336"/>
      <c r="BK241" s="336"/>
      <c r="BL241" s="336"/>
      <c r="BM241" s="336"/>
      <c r="BN241" s="336"/>
      <c r="BO241" s="336"/>
      <c r="BP241" s="336"/>
      <c r="BQ241" s="336"/>
      <c r="BR241" s="336"/>
      <c r="BS241" s="336"/>
      <c r="BT241" s="336"/>
      <c r="BU241" s="336"/>
      <c r="BV241" s="336"/>
      <c r="BW241" s="336"/>
      <c r="BX241" s="336"/>
      <c r="BY241" s="336"/>
      <c r="BZ241" s="336"/>
      <c r="CA241" s="336"/>
      <c r="CB241" s="336"/>
      <c r="CC241" s="336"/>
      <c r="CD241" s="336"/>
      <c r="CE241" s="336"/>
      <c r="CF241" s="336"/>
      <c r="CG241" s="336"/>
      <c r="CH241" s="336"/>
      <c r="CI241" s="336"/>
      <c r="CJ241" s="336"/>
      <c r="CK241" s="336"/>
      <c r="CL241" s="336"/>
      <c r="CM241" s="336"/>
      <c r="CN241" s="336"/>
      <c r="CO241" s="336"/>
      <c r="CP241" s="336"/>
      <c r="CQ241" s="336"/>
      <c r="CR241" s="336"/>
      <c r="CS241" s="336"/>
      <c r="CT241" s="336"/>
      <c r="CU241" s="336"/>
      <c r="CV241" s="336"/>
      <c r="CW241" s="336"/>
      <c r="CX241" s="336"/>
      <c r="CY241" s="336"/>
      <c r="CZ241" s="336"/>
      <c r="DA241" s="336"/>
      <c r="DB241" s="336"/>
      <c r="DC241" s="336"/>
      <c r="DD241" s="336"/>
      <c r="DE241" s="336"/>
      <c r="DF241" s="336"/>
      <c r="DG241" s="336"/>
      <c r="DH241" s="336"/>
      <c r="DI241" s="336"/>
      <c r="DJ241" s="336"/>
      <c r="DK241" s="336"/>
      <c r="DL241" s="336"/>
      <c r="DM241" s="336"/>
      <c r="DN241" s="336"/>
      <c r="DO241" s="336"/>
      <c r="DP241" s="336"/>
      <c r="DQ241" s="336"/>
      <c r="DR241" s="336"/>
      <c r="DS241" s="336"/>
      <c r="DT241" s="336"/>
      <c r="DU241" s="336"/>
      <c r="DV241" s="336"/>
      <c r="DW241" s="336"/>
      <c r="DX241" s="336"/>
      <c r="DY241" s="336"/>
      <c r="DZ241" s="336"/>
      <c r="EA241" s="336"/>
      <c r="EB241" s="336"/>
      <c r="EC241" s="336"/>
      <c r="ED241" s="336"/>
      <c r="EE241" s="336"/>
      <c r="EF241" s="336"/>
      <c r="EG241" s="336"/>
      <c r="EH241" s="336"/>
      <c r="EI241" s="336"/>
      <c r="EJ241" s="336"/>
      <c r="EK241" s="336"/>
      <c r="EL241" s="336"/>
      <c r="EM241" s="336"/>
      <c r="EN241" s="336"/>
      <c r="EO241" s="336"/>
      <c r="EP241" s="336"/>
      <c r="EQ241" s="336"/>
      <c r="ER241" s="336"/>
      <c r="ES241" s="336"/>
      <c r="ET241" s="336"/>
      <c r="EU241" s="336"/>
      <c r="EV241" s="336"/>
      <c r="EW241" s="336"/>
      <c r="EX241" s="336"/>
      <c r="EY241" s="336"/>
      <c r="EZ241" s="336"/>
      <c r="FA241" s="336"/>
      <c r="FB241" s="336"/>
      <c r="FC241" s="336"/>
      <c r="FD241" s="336"/>
      <c r="FE241" s="336"/>
      <c r="FF241" s="336"/>
      <c r="FG241" s="336"/>
      <c r="FH241" s="336"/>
      <c r="FI241" s="336"/>
      <c r="FJ241" s="336"/>
      <c r="FK241" s="336"/>
      <c r="FL241" s="336"/>
      <c r="FM241" s="336"/>
      <c r="FN241" s="336"/>
      <c r="FO241" s="336"/>
      <c r="FP241" s="336"/>
      <c r="FQ241" s="336"/>
      <c r="FR241" s="336"/>
      <c r="FS241" s="336"/>
      <c r="FT241" s="336"/>
      <c r="FU241" s="336"/>
      <c r="FV241" s="336"/>
      <c r="FW241" s="336"/>
      <c r="FX241" s="336"/>
    </row>
    <row r="242" spans="1:180" s="261" customFormat="1" ht="15" customHeight="1" x14ac:dyDescent="0.2">
      <c r="A242" s="273">
        <v>26075</v>
      </c>
      <c r="B242" s="274" t="s">
        <v>1209</v>
      </c>
      <c r="C242" s="303" t="s">
        <v>1210</v>
      </c>
      <c r="D242" s="305">
        <v>8.0499999999999989</v>
      </c>
      <c r="F242" s="336"/>
      <c r="G242" s="336"/>
      <c r="H242" s="336"/>
      <c r="I242" s="336"/>
      <c r="J242" s="336"/>
      <c r="K242" s="336"/>
      <c r="L242" s="336"/>
      <c r="M242" s="336"/>
      <c r="N242" s="336"/>
      <c r="O242" s="336"/>
      <c r="P242" s="336"/>
      <c r="Q242" s="336"/>
      <c r="R242" s="336"/>
      <c r="S242" s="336"/>
      <c r="T242" s="336"/>
      <c r="U242" s="336"/>
      <c r="V242" s="336"/>
      <c r="W242" s="336"/>
      <c r="X242" s="336"/>
      <c r="Y242" s="336"/>
      <c r="Z242" s="336"/>
      <c r="AA242" s="336"/>
      <c r="AB242" s="336"/>
      <c r="AC242" s="336"/>
      <c r="AD242" s="336"/>
      <c r="AE242" s="336"/>
      <c r="AF242" s="336"/>
      <c r="AG242" s="336"/>
      <c r="AH242" s="336"/>
      <c r="AI242" s="336"/>
      <c r="AJ242" s="336"/>
      <c r="AK242" s="336"/>
      <c r="AL242" s="336"/>
      <c r="AM242" s="336"/>
      <c r="AN242" s="336"/>
      <c r="AO242" s="336"/>
      <c r="AP242" s="336"/>
      <c r="AQ242" s="336"/>
      <c r="AR242" s="336"/>
      <c r="AS242" s="336"/>
      <c r="AT242" s="336"/>
      <c r="AU242" s="336"/>
      <c r="AV242" s="336"/>
      <c r="AW242" s="336"/>
      <c r="AX242" s="336"/>
      <c r="AY242" s="336"/>
      <c r="AZ242" s="336"/>
      <c r="BA242" s="336"/>
      <c r="BB242" s="336"/>
      <c r="BC242" s="336"/>
      <c r="BD242" s="336"/>
      <c r="BE242" s="336"/>
      <c r="BF242" s="336"/>
      <c r="BG242" s="336"/>
      <c r="BH242" s="336"/>
      <c r="BI242" s="336"/>
      <c r="BJ242" s="336"/>
      <c r="BK242" s="336"/>
      <c r="BL242" s="336"/>
      <c r="BM242" s="336"/>
      <c r="BN242" s="336"/>
      <c r="BO242" s="336"/>
      <c r="BP242" s="336"/>
      <c r="BQ242" s="336"/>
      <c r="BR242" s="336"/>
      <c r="BS242" s="336"/>
      <c r="BT242" s="336"/>
      <c r="BU242" s="336"/>
      <c r="BV242" s="336"/>
      <c r="BW242" s="336"/>
      <c r="BX242" s="336"/>
      <c r="BY242" s="336"/>
      <c r="BZ242" s="336"/>
      <c r="CA242" s="336"/>
      <c r="CB242" s="336"/>
      <c r="CC242" s="336"/>
      <c r="CD242" s="336"/>
      <c r="CE242" s="336"/>
      <c r="CF242" s="336"/>
      <c r="CG242" s="336"/>
      <c r="CH242" s="336"/>
      <c r="CI242" s="336"/>
      <c r="CJ242" s="336"/>
      <c r="CK242" s="336"/>
      <c r="CL242" s="336"/>
      <c r="CM242" s="336"/>
      <c r="CN242" s="336"/>
      <c r="CO242" s="336"/>
      <c r="CP242" s="336"/>
      <c r="CQ242" s="336"/>
      <c r="CR242" s="336"/>
      <c r="CS242" s="336"/>
      <c r="CT242" s="336"/>
      <c r="CU242" s="336"/>
      <c r="CV242" s="336"/>
      <c r="CW242" s="336"/>
      <c r="CX242" s="336"/>
      <c r="CY242" s="336"/>
      <c r="CZ242" s="336"/>
      <c r="DA242" s="336"/>
      <c r="DB242" s="336"/>
      <c r="DC242" s="336"/>
      <c r="DD242" s="336"/>
      <c r="DE242" s="336"/>
      <c r="DF242" s="336"/>
      <c r="DG242" s="336"/>
      <c r="DH242" s="336"/>
      <c r="DI242" s="336"/>
      <c r="DJ242" s="336"/>
      <c r="DK242" s="336"/>
      <c r="DL242" s="336"/>
      <c r="DM242" s="336"/>
      <c r="DN242" s="336"/>
      <c r="DO242" s="336"/>
      <c r="DP242" s="336"/>
      <c r="DQ242" s="336"/>
      <c r="DR242" s="336"/>
      <c r="DS242" s="336"/>
      <c r="DT242" s="336"/>
      <c r="DU242" s="336"/>
      <c r="DV242" s="336"/>
      <c r="DW242" s="336"/>
      <c r="DX242" s="336"/>
      <c r="DY242" s="336"/>
      <c r="DZ242" s="336"/>
      <c r="EA242" s="336"/>
      <c r="EB242" s="336"/>
      <c r="EC242" s="336"/>
      <c r="ED242" s="336"/>
      <c r="EE242" s="336"/>
      <c r="EF242" s="336"/>
      <c r="EG242" s="336"/>
      <c r="EH242" s="336"/>
      <c r="EI242" s="336"/>
      <c r="EJ242" s="336"/>
      <c r="EK242" s="336"/>
      <c r="EL242" s="336"/>
      <c r="EM242" s="336"/>
      <c r="EN242" s="336"/>
      <c r="EO242" s="336"/>
      <c r="EP242" s="336"/>
      <c r="EQ242" s="336"/>
      <c r="ER242" s="336"/>
      <c r="ES242" s="336"/>
      <c r="ET242" s="336"/>
      <c r="EU242" s="336"/>
      <c r="EV242" s="336"/>
      <c r="EW242" s="336"/>
      <c r="EX242" s="336"/>
      <c r="EY242" s="336"/>
      <c r="EZ242" s="336"/>
      <c r="FA242" s="336"/>
      <c r="FB242" s="336"/>
      <c r="FC242" s="336"/>
      <c r="FD242" s="336"/>
      <c r="FE242" s="336"/>
      <c r="FF242" s="336"/>
      <c r="FG242" s="336"/>
      <c r="FH242" s="336"/>
      <c r="FI242" s="336"/>
      <c r="FJ242" s="336"/>
      <c r="FK242" s="336"/>
      <c r="FL242" s="336"/>
      <c r="FM242" s="336"/>
      <c r="FN242" s="336"/>
      <c r="FO242" s="336"/>
      <c r="FP242" s="336"/>
      <c r="FQ242" s="336"/>
      <c r="FR242" s="336"/>
      <c r="FS242" s="336"/>
      <c r="FT242" s="336"/>
      <c r="FU242" s="336"/>
      <c r="FV242" s="336"/>
      <c r="FW242" s="336"/>
      <c r="FX242" s="336"/>
    </row>
    <row r="243" spans="1:180" s="261" customFormat="1" ht="15" customHeight="1" x14ac:dyDescent="0.2">
      <c r="A243" s="320">
        <v>26429</v>
      </c>
      <c r="B243" s="309" t="s">
        <v>1454</v>
      </c>
      <c r="C243" s="283" t="s">
        <v>2820</v>
      </c>
      <c r="D243" s="321" t="s">
        <v>1456</v>
      </c>
    </row>
    <row r="244" spans="1:180" s="261" customFormat="1" ht="15" customHeight="1" x14ac:dyDescent="0.2">
      <c r="A244" s="320">
        <v>26431</v>
      </c>
      <c r="B244" s="309" t="s">
        <v>1454</v>
      </c>
      <c r="C244" s="283" t="s">
        <v>2821</v>
      </c>
      <c r="D244" s="321" t="s">
        <v>1456</v>
      </c>
    </row>
    <row r="245" spans="1:180" s="261" customFormat="1" ht="15" customHeight="1" x14ac:dyDescent="0.2">
      <c r="A245" s="320">
        <v>26433</v>
      </c>
      <c r="B245" s="309" t="s">
        <v>1454</v>
      </c>
      <c r="C245" s="283" t="s">
        <v>2822</v>
      </c>
      <c r="D245" s="321" t="s">
        <v>1456</v>
      </c>
    </row>
    <row r="246" spans="1:180" s="261" customFormat="1" ht="15" customHeight="1" x14ac:dyDescent="0.2">
      <c r="A246" s="273">
        <v>26479</v>
      </c>
      <c r="B246" s="274" t="s">
        <v>1241</v>
      </c>
      <c r="C246" s="303" t="s">
        <v>1242</v>
      </c>
      <c r="D246" s="305">
        <v>13.51</v>
      </c>
    </row>
    <row r="247" spans="1:180" s="261" customFormat="1" ht="15" customHeight="1" x14ac:dyDescent="0.2">
      <c r="A247" s="273">
        <v>26481</v>
      </c>
      <c r="B247" s="274" t="s">
        <v>1243</v>
      </c>
      <c r="C247" s="303" t="s">
        <v>1244</v>
      </c>
      <c r="D247" s="305">
        <v>13.51</v>
      </c>
    </row>
    <row r="248" spans="1:180" s="261" customFormat="1" ht="15" customHeight="1" x14ac:dyDescent="0.2">
      <c r="A248" s="273">
        <v>26483</v>
      </c>
      <c r="B248" s="274" t="s">
        <v>1245</v>
      </c>
      <c r="C248" s="303" t="s">
        <v>1246</v>
      </c>
      <c r="D248" s="305">
        <v>10</v>
      </c>
    </row>
    <row r="249" spans="1:180" s="261" customFormat="1" ht="15" customHeight="1" x14ac:dyDescent="0.2">
      <c r="A249" s="273">
        <v>26485</v>
      </c>
      <c r="B249" s="274" t="s">
        <v>1249</v>
      </c>
      <c r="C249" s="303" t="s">
        <v>1250</v>
      </c>
      <c r="D249" s="305">
        <v>11.3</v>
      </c>
    </row>
    <row r="250" spans="1:180" s="261" customFormat="1" ht="15" customHeight="1" x14ac:dyDescent="0.2">
      <c r="A250" s="273">
        <v>26486</v>
      </c>
      <c r="B250" s="274" t="s">
        <v>1251</v>
      </c>
      <c r="C250" s="303" t="s">
        <v>1252</v>
      </c>
      <c r="D250" s="305">
        <v>14.07</v>
      </c>
    </row>
    <row r="251" spans="1:180" s="261" customFormat="1" ht="15" customHeight="1" x14ac:dyDescent="0.2">
      <c r="A251" s="273">
        <v>26489</v>
      </c>
      <c r="B251" s="274" t="s">
        <v>1253</v>
      </c>
      <c r="C251" s="303" t="s">
        <v>1254</v>
      </c>
      <c r="D251" s="305">
        <v>9.66</v>
      </c>
    </row>
    <row r="252" spans="1:180" s="261" customFormat="1" ht="15" customHeight="1" x14ac:dyDescent="0.2">
      <c r="A252" s="273">
        <v>26491</v>
      </c>
      <c r="B252" s="274" t="s">
        <v>1257</v>
      </c>
      <c r="C252" s="303" t="s">
        <v>1258</v>
      </c>
      <c r="D252" s="305">
        <v>11</v>
      </c>
    </row>
    <row r="253" spans="1:180" s="261" customFormat="1" ht="15" customHeight="1" x14ac:dyDescent="0.2">
      <c r="A253" s="273">
        <v>26487</v>
      </c>
      <c r="B253" s="274" t="s">
        <v>1259</v>
      </c>
      <c r="C253" s="303" t="s">
        <v>1260</v>
      </c>
      <c r="D253" s="305">
        <v>22.89</v>
      </c>
    </row>
    <row r="254" spans="1:180" s="261" customFormat="1" ht="15" customHeight="1" x14ac:dyDescent="0.2">
      <c r="A254" s="273">
        <v>26170</v>
      </c>
      <c r="B254" s="274" t="s">
        <v>1261</v>
      </c>
      <c r="C254" s="303" t="s">
        <v>1262</v>
      </c>
      <c r="D254" s="305">
        <v>2.8699999999999997</v>
      </c>
    </row>
    <row r="255" spans="1:180" s="261" customFormat="1" ht="15" customHeight="1" x14ac:dyDescent="0.2">
      <c r="A255" s="273">
        <v>26040</v>
      </c>
      <c r="B255" s="274" t="s">
        <v>1263</v>
      </c>
      <c r="C255" s="303" t="s">
        <v>1264</v>
      </c>
      <c r="D255" s="305">
        <v>20.309999999999999</v>
      </c>
    </row>
    <row r="256" spans="1:180" s="261" customFormat="1" ht="15" customHeight="1" x14ac:dyDescent="0.2">
      <c r="A256" s="273">
        <v>26006</v>
      </c>
      <c r="B256" s="274" t="s">
        <v>1519</v>
      </c>
      <c r="C256" s="303" t="s">
        <v>1520</v>
      </c>
      <c r="D256" s="305">
        <v>13.75</v>
      </c>
    </row>
    <row r="257" spans="1:4" s="261" customFormat="1" ht="15" customHeight="1" x14ac:dyDescent="0.2">
      <c r="A257" s="273">
        <v>26019</v>
      </c>
      <c r="B257" s="274" t="s">
        <v>1267</v>
      </c>
      <c r="C257" s="303" t="s">
        <v>1268</v>
      </c>
      <c r="D257" s="305">
        <v>10.92</v>
      </c>
    </row>
    <row r="258" spans="1:4" s="261" customFormat="1" ht="15" customHeight="1" x14ac:dyDescent="0.2">
      <c r="A258" s="273">
        <v>26022</v>
      </c>
      <c r="B258" s="274" t="s">
        <v>1271</v>
      </c>
      <c r="C258" s="303" t="s">
        <v>1272</v>
      </c>
      <c r="D258" s="305">
        <v>13.579999999999998</v>
      </c>
    </row>
    <row r="259" spans="1:4" s="261" customFormat="1" ht="15" customHeight="1" x14ac:dyDescent="0.2">
      <c r="A259" s="273">
        <v>26010</v>
      </c>
      <c r="B259" s="274" t="s">
        <v>1273</v>
      </c>
      <c r="C259" s="303" t="s">
        <v>1274</v>
      </c>
      <c r="D259" s="305">
        <v>11.2</v>
      </c>
    </row>
    <row r="260" spans="1:4" s="261" customFormat="1" ht="15" customHeight="1" x14ac:dyDescent="0.2">
      <c r="A260" s="273">
        <v>26012</v>
      </c>
      <c r="B260" s="274" t="s">
        <v>1275</v>
      </c>
      <c r="C260" s="303" t="s">
        <v>1276</v>
      </c>
      <c r="D260" s="305">
        <v>12.04</v>
      </c>
    </row>
    <row r="261" spans="1:4" s="261" customFormat="1" ht="15" customHeight="1" x14ac:dyDescent="0.2">
      <c r="A261" s="273">
        <v>26013</v>
      </c>
      <c r="B261" s="274" t="s">
        <v>1277</v>
      </c>
      <c r="C261" s="303" t="s">
        <v>1278</v>
      </c>
      <c r="D261" s="305">
        <v>12.739999999999998</v>
      </c>
    </row>
    <row r="262" spans="1:4" s="261" customFormat="1" ht="15" customHeight="1" x14ac:dyDescent="0.2">
      <c r="A262" s="273">
        <v>26025</v>
      </c>
      <c r="B262" s="274" t="s">
        <v>1279</v>
      </c>
      <c r="C262" s="303" t="s">
        <v>1280</v>
      </c>
      <c r="D262" s="305">
        <v>10.92</v>
      </c>
    </row>
    <row r="263" spans="1:4" s="261" customFormat="1" ht="15" customHeight="1" x14ac:dyDescent="0.2">
      <c r="A263" s="273">
        <v>26031</v>
      </c>
      <c r="B263" s="274" t="s">
        <v>1521</v>
      </c>
      <c r="C263" s="303" t="s">
        <v>1522</v>
      </c>
      <c r="D263" s="305">
        <v>9.35</v>
      </c>
    </row>
    <row r="264" spans="1:4" s="261" customFormat="1" ht="15" customHeight="1" x14ac:dyDescent="0.2">
      <c r="A264" s="277">
        <v>26033</v>
      </c>
      <c r="B264" s="278" t="s">
        <v>1523</v>
      </c>
      <c r="C264" s="310" t="s">
        <v>2823</v>
      </c>
      <c r="D264" s="337">
        <v>80</v>
      </c>
    </row>
    <row r="265" spans="1:4" s="261" customFormat="1" ht="15" customHeight="1" x14ac:dyDescent="0.2">
      <c r="A265" s="273">
        <v>26032</v>
      </c>
      <c r="B265" s="274" t="s">
        <v>1524</v>
      </c>
      <c r="C265" s="303" t="s">
        <v>1525</v>
      </c>
      <c r="D265" s="305">
        <v>8.6</v>
      </c>
    </row>
    <row r="266" spans="1:4" s="261" customFormat="1" ht="15" customHeight="1" x14ac:dyDescent="0.2">
      <c r="A266" s="273">
        <v>26059</v>
      </c>
      <c r="B266" s="274" t="s">
        <v>1281</v>
      </c>
      <c r="C266" s="303" t="s">
        <v>1282</v>
      </c>
      <c r="D266" s="305">
        <v>4.4799999999999995</v>
      </c>
    </row>
    <row r="267" spans="1:4" s="261" customFormat="1" ht="15" customHeight="1" x14ac:dyDescent="0.2">
      <c r="A267" s="273">
        <v>26005</v>
      </c>
      <c r="B267" s="274" t="s">
        <v>1526</v>
      </c>
      <c r="C267" s="303" t="s">
        <v>1527</v>
      </c>
      <c r="D267" s="305">
        <v>3.17</v>
      </c>
    </row>
    <row r="268" spans="1:4" s="261" customFormat="1" ht="15" customHeight="1" x14ac:dyDescent="0.2">
      <c r="A268" s="277">
        <v>26271</v>
      </c>
      <c r="B268" s="278" t="s">
        <v>1283</v>
      </c>
      <c r="C268" s="310" t="s">
        <v>1528</v>
      </c>
      <c r="D268" s="337">
        <v>2.33</v>
      </c>
    </row>
    <row r="269" spans="1:4" s="261" customFormat="1" ht="15" customHeight="1" x14ac:dyDescent="0.2">
      <c r="A269" s="273">
        <v>26265</v>
      </c>
      <c r="B269" s="274" t="s">
        <v>1529</v>
      </c>
      <c r="C269" s="303" t="s">
        <v>1530</v>
      </c>
      <c r="D269" s="305">
        <v>3.0100000000000002</v>
      </c>
    </row>
    <row r="270" spans="1:4" s="261" customFormat="1" ht="15" customHeight="1" x14ac:dyDescent="0.2">
      <c r="A270" s="273">
        <v>26268</v>
      </c>
      <c r="B270" s="274" t="s">
        <v>1287</v>
      </c>
      <c r="C270" s="303" t="s">
        <v>1531</v>
      </c>
      <c r="D270" s="305">
        <v>1.9599999999999997</v>
      </c>
    </row>
    <row r="271" spans="1:4" s="261" customFormat="1" ht="15" customHeight="1" x14ac:dyDescent="0.2">
      <c r="A271" s="273">
        <v>26276</v>
      </c>
      <c r="B271" s="274" t="s">
        <v>1289</v>
      </c>
      <c r="C271" s="303" t="s">
        <v>303</v>
      </c>
      <c r="D271" s="305">
        <v>1.4</v>
      </c>
    </row>
    <row r="272" spans="1:4" s="261" customFormat="1" ht="15" customHeight="1" x14ac:dyDescent="0.2">
      <c r="A272" s="273">
        <v>26298</v>
      </c>
      <c r="B272" s="274" t="s">
        <v>1290</v>
      </c>
      <c r="C272" s="303" t="s">
        <v>1291</v>
      </c>
      <c r="D272" s="305">
        <v>4.34</v>
      </c>
    </row>
    <row r="273" spans="1:4" s="261" customFormat="1" ht="15" customHeight="1" x14ac:dyDescent="0.2">
      <c r="A273" s="273"/>
      <c r="B273" s="274"/>
      <c r="C273" s="328" t="s">
        <v>1532</v>
      </c>
      <c r="D273" s="305"/>
    </row>
    <row r="274" spans="1:4" s="261" customFormat="1" ht="15" customHeight="1" x14ac:dyDescent="0.2">
      <c r="A274" s="338">
        <v>26252</v>
      </c>
      <c r="B274" s="339" t="s">
        <v>1454</v>
      </c>
      <c r="C274" s="340" t="s">
        <v>1533</v>
      </c>
      <c r="D274" s="305" t="s">
        <v>1456</v>
      </c>
    </row>
    <row r="275" spans="1:4" s="261" customFormat="1" ht="15" customHeight="1" x14ac:dyDescent="0.2">
      <c r="A275" s="273">
        <v>26223</v>
      </c>
      <c r="B275" s="274" t="s">
        <v>1303</v>
      </c>
      <c r="C275" s="303" t="s">
        <v>2824</v>
      </c>
      <c r="D275" s="305">
        <v>4.8999999999999995</v>
      </c>
    </row>
    <row r="276" spans="1:4" s="261" customFormat="1" ht="15" customHeight="1" x14ac:dyDescent="0.2">
      <c r="A276" s="273">
        <v>26066</v>
      </c>
      <c r="B276" s="274" t="s">
        <v>1299</v>
      </c>
      <c r="C276" s="303" t="s">
        <v>1534</v>
      </c>
      <c r="D276" s="305">
        <v>13.17</v>
      </c>
    </row>
    <row r="277" spans="1:4" s="261" customFormat="1" ht="15" customHeight="1" x14ac:dyDescent="0.2">
      <c r="A277" s="273">
        <v>26069</v>
      </c>
      <c r="B277" s="274" t="s">
        <v>1301</v>
      </c>
      <c r="C277" s="303" t="s">
        <v>1535</v>
      </c>
      <c r="D277" s="305">
        <v>13</v>
      </c>
    </row>
    <row r="278" spans="1:4" s="261" customFormat="1" ht="15" customHeight="1" x14ac:dyDescent="0.2">
      <c r="A278" s="273"/>
      <c r="B278" s="274"/>
      <c r="C278" s="328" t="s">
        <v>307</v>
      </c>
      <c r="D278" s="305"/>
    </row>
    <row r="279" spans="1:4" s="261" customFormat="1" ht="27" x14ac:dyDescent="0.2">
      <c r="A279" s="273">
        <v>26507</v>
      </c>
      <c r="B279" s="274" t="s">
        <v>1536</v>
      </c>
      <c r="C279" s="303" t="s">
        <v>1537</v>
      </c>
      <c r="D279" s="305">
        <v>14.91</v>
      </c>
    </row>
    <row r="280" spans="1:4" s="261" customFormat="1" ht="27" x14ac:dyDescent="0.2">
      <c r="A280" s="273">
        <v>26508</v>
      </c>
      <c r="B280" s="274" t="s">
        <v>1538</v>
      </c>
      <c r="C280" s="303" t="s">
        <v>2825</v>
      </c>
      <c r="D280" s="305">
        <v>14.91</v>
      </c>
    </row>
    <row r="281" spans="1:4" s="261" customFormat="1" ht="27" x14ac:dyDescent="0.2">
      <c r="A281" s="306">
        <v>26179</v>
      </c>
      <c r="B281" s="307" t="s">
        <v>1454</v>
      </c>
      <c r="C281" s="303" t="s">
        <v>2826</v>
      </c>
      <c r="D281" s="305" t="s">
        <v>1456</v>
      </c>
    </row>
    <row r="282" spans="1:4" s="261" customFormat="1" ht="27" x14ac:dyDescent="0.2">
      <c r="A282" s="306">
        <v>26183</v>
      </c>
      <c r="B282" s="307" t="s">
        <v>1539</v>
      </c>
      <c r="C282" s="303" t="s">
        <v>2827</v>
      </c>
      <c r="D282" s="305">
        <v>46.7</v>
      </c>
    </row>
    <row r="283" spans="1:4" s="261" customFormat="1" ht="15" customHeight="1" x14ac:dyDescent="0.2">
      <c r="A283" s="341">
        <v>26307</v>
      </c>
      <c r="B283" s="342" t="s">
        <v>1540</v>
      </c>
      <c r="C283" s="310" t="s">
        <v>1541</v>
      </c>
      <c r="D283" s="337">
        <v>80</v>
      </c>
    </row>
    <row r="284" spans="1:4" s="261" customFormat="1" ht="15" customHeight="1" x14ac:dyDescent="0.2">
      <c r="A284" s="273">
        <v>26110</v>
      </c>
      <c r="B284" s="274" t="s">
        <v>1318</v>
      </c>
      <c r="C284" s="303" t="s">
        <v>1319</v>
      </c>
      <c r="D284" s="305">
        <v>8.33</v>
      </c>
    </row>
    <row r="285" spans="1:4" s="261" customFormat="1" ht="15" customHeight="1" x14ac:dyDescent="0.2">
      <c r="A285" s="273">
        <v>26513</v>
      </c>
      <c r="B285" s="274" t="s">
        <v>1542</v>
      </c>
      <c r="C285" s="303" t="s">
        <v>2828</v>
      </c>
      <c r="D285" s="305">
        <v>9.31</v>
      </c>
    </row>
    <row r="286" spans="1:4" s="261" customFormat="1" ht="27" x14ac:dyDescent="0.2">
      <c r="A286" s="273">
        <v>26125</v>
      </c>
      <c r="B286" s="274" t="s">
        <v>1320</v>
      </c>
      <c r="C286" s="303" t="s">
        <v>1321</v>
      </c>
      <c r="D286" s="305">
        <v>9.65</v>
      </c>
    </row>
    <row r="287" spans="1:4" s="261" customFormat="1" ht="27" x14ac:dyDescent="0.2">
      <c r="A287" s="308">
        <v>26136</v>
      </c>
      <c r="B287" s="309" t="s">
        <v>1543</v>
      </c>
      <c r="C287" s="283" t="s">
        <v>1544</v>
      </c>
      <c r="D287" s="343">
        <v>14.29</v>
      </c>
    </row>
    <row r="288" spans="1:4" s="261" customFormat="1" ht="27" x14ac:dyDescent="0.2">
      <c r="A288" s="273">
        <v>26111</v>
      </c>
      <c r="B288" s="274" t="s">
        <v>1322</v>
      </c>
      <c r="C288" s="303" t="s">
        <v>1323</v>
      </c>
      <c r="D288" s="305">
        <v>4.3100000000000005</v>
      </c>
    </row>
    <row r="289" spans="1:4" s="261" customFormat="1" ht="27" x14ac:dyDescent="0.2">
      <c r="A289" s="273">
        <v>26135</v>
      </c>
      <c r="B289" s="274" t="s">
        <v>1324</v>
      </c>
      <c r="C289" s="303" t="s">
        <v>1325</v>
      </c>
      <c r="D289" s="305">
        <v>5.9499999999999993</v>
      </c>
    </row>
    <row r="290" spans="1:4" s="261" customFormat="1" ht="27" x14ac:dyDescent="0.2">
      <c r="A290" s="273">
        <v>26134</v>
      </c>
      <c r="B290" s="274" t="s">
        <v>1326</v>
      </c>
      <c r="C290" s="303" t="s">
        <v>1545</v>
      </c>
      <c r="D290" s="305">
        <v>5.9499999999999993</v>
      </c>
    </row>
    <row r="291" spans="1:4" s="261" customFormat="1" ht="27" x14ac:dyDescent="0.2">
      <c r="A291" s="306">
        <v>26133</v>
      </c>
      <c r="B291" s="307" t="s">
        <v>1454</v>
      </c>
      <c r="C291" s="303" t="s">
        <v>1546</v>
      </c>
      <c r="D291" s="305" t="s">
        <v>1456</v>
      </c>
    </row>
    <row r="292" spans="1:4" s="261" customFormat="1" ht="15" customHeight="1" x14ac:dyDescent="0.2">
      <c r="A292" s="273">
        <v>26511</v>
      </c>
      <c r="B292" s="274" t="s">
        <v>1330</v>
      </c>
      <c r="C292" s="303" t="s">
        <v>1547</v>
      </c>
      <c r="D292" s="305">
        <v>5.9499999999999993</v>
      </c>
    </row>
    <row r="293" spans="1:4" s="261" customFormat="1" ht="27" x14ac:dyDescent="0.2">
      <c r="A293" s="273">
        <v>26519</v>
      </c>
      <c r="B293" s="274" t="s">
        <v>1548</v>
      </c>
      <c r="C293" s="303" t="s">
        <v>2829</v>
      </c>
      <c r="D293" s="305">
        <v>15.68</v>
      </c>
    </row>
    <row r="294" spans="1:4" s="261" customFormat="1" ht="15" customHeight="1" x14ac:dyDescent="0.2">
      <c r="A294" s="273">
        <v>26120</v>
      </c>
      <c r="B294" s="274" t="s">
        <v>1336</v>
      </c>
      <c r="C294" s="303" t="s">
        <v>1337</v>
      </c>
      <c r="D294" s="305">
        <v>11.829999999999998</v>
      </c>
    </row>
    <row r="295" spans="1:4" s="261" customFormat="1" ht="13.5" x14ac:dyDescent="0.2">
      <c r="A295" s="273">
        <v>26127</v>
      </c>
      <c r="B295" s="274" t="s">
        <v>1338</v>
      </c>
      <c r="C295" s="303" t="s">
        <v>1339</v>
      </c>
      <c r="D295" s="305">
        <v>20.09</v>
      </c>
    </row>
    <row r="296" spans="1:4" s="261" customFormat="1" ht="27" x14ac:dyDescent="0.2">
      <c r="A296" s="273">
        <v>26124</v>
      </c>
      <c r="B296" s="274" t="s">
        <v>1340</v>
      </c>
      <c r="C296" s="303" t="s">
        <v>1549</v>
      </c>
      <c r="D296" s="305">
        <v>15.82</v>
      </c>
    </row>
    <row r="297" spans="1:4" s="261" customFormat="1" ht="27" x14ac:dyDescent="0.2">
      <c r="A297" s="273">
        <v>26095</v>
      </c>
      <c r="B297" s="274" t="s">
        <v>1342</v>
      </c>
      <c r="C297" s="303" t="s">
        <v>1343</v>
      </c>
      <c r="D297" s="305">
        <v>21.84</v>
      </c>
    </row>
    <row r="298" spans="1:4" s="261" customFormat="1" ht="15" customHeight="1" x14ac:dyDescent="0.2">
      <c r="A298" s="306">
        <v>26269</v>
      </c>
      <c r="B298" s="307" t="s">
        <v>1454</v>
      </c>
      <c r="C298" s="344" t="s">
        <v>2830</v>
      </c>
      <c r="D298" s="305" t="s">
        <v>1456</v>
      </c>
    </row>
    <row r="299" spans="1:4" s="261" customFormat="1" ht="15" customHeight="1" x14ac:dyDescent="0.2">
      <c r="A299" s="273">
        <v>26172</v>
      </c>
      <c r="B299" s="274" t="s">
        <v>1346</v>
      </c>
      <c r="C299" s="303" t="s">
        <v>1347</v>
      </c>
      <c r="D299" s="305">
        <v>8.1999999999999993</v>
      </c>
    </row>
    <row r="300" spans="1:4" s="261" customFormat="1" ht="27" x14ac:dyDescent="0.2">
      <c r="A300" s="273">
        <v>26516</v>
      </c>
      <c r="B300" s="274" t="s">
        <v>1550</v>
      </c>
      <c r="C300" s="303" t="s">
        <v>2831</v>
      </c>
      <c r="D300" s="305">
        <v>9.31</v>
      </c>
    </row>
    <row r="301" spans="1:4" s="261" customFormat="1" ht="15" customHeight="1" x14ac:dyDescent="0.2">
      <c r="A301" s="273">
        <v>26108</v>
      </c>
      <c r="B301" s="274" t="s">
        <v>1352</v>
      </c>
      <c r="C301" s="303" t="s">
        <v>2832</v>
      </c>
      <c r="D301" s="305">
        <v>15.1</v>
      </c>
    </row>
    <row r="302" spans="1:4" s="261" customFormat="1" ht="15" customHeight="1" x14ac:dyDescent="0.2">
      <c r="A302" s="273">
        <v>26514</v>
      </c>
      <c r="B302" s="274" t="s">
        <v>1551</v>
      </c>
      <c r="C302" s="303" t="s">
        <v>2833</v>
      </c>
      <c r="D302" s="305">
        <v>9.31</v>
      </c>
    </row>
    <row r="303" spans="1:4" s="261" customFormat="1" ht="15" customHeight="1" x14ac:dyDescent="0.2">
      <c r="A303" s="273">
        <v>26177</v>
      </c>
      <c r="B303" s="274" t="s">
        <v>1354</v>
      </c>
      <c r="C303" s="303" t="s">
        <v>2834</v>
      </c>
      <c r="D303" s="305">
        <v>4.0599999999999996</v>
      </c>
    </row>
    <row r="304" spans="1:4" s="261" customFormat="1" ht="15" customHeight="1" x14ac:dyDescent="0.2">
      <c r="A304" s="273">
        <v>26498</v>
      </c>
      <c r="B304" s="274" t="s">
        <v>1358</v>
      </c>
      <c r="C304" s="303" t="s">
        <v>2835</v>
      </c>
      <c r="D304" s="305">
        <v>14.91</v>
      </c>
    </row>
    <row r="305" spans="1:4" s="261" customFormat="1" ht="15" customHeight="1" x14ac:dyDescent="0.2">
      <c r="A305" s="273"/>
      <c r="B305" s="274"/>
      <c r="C305" s="328" t="s">
        <v>1552</v>
      </c>
      <c r="D305" s="305"/>
    </row>
    <row r="306" spans="1:4" s="261" customFormat="1" ht="27" x14ac:dyDescent="0.2">
      <c r="A306" s="273">
        <v>26145</v>
      </c>
      <c r="B306" s="274" t="s">
        <v>1368</v>
      </c>
      <c r="C306" s="303" t="s">
        <v>1553</v>
      </c>
      <c r="D306" s="305">
        <v>8.7799999999999994</v>
      </c>
    </row>
    <row r="307" spans="1:4" s="261" customFormat="1" ht="15" customHeight="1" x14ac:dyDescent="0.2">
      <c r="A307" s="273">
        <v>26139</v>
      </c>
      <c r="B307" s="274" t="s">
        <v>1372</v>
      </c>
      <c r="C307" s="303" t="s">
        <v>1554</v>
      </c>
      <c r="D307" s="305">
        <v>1.8</v>
      </c>
    </row>
    <row r="308" spans="1:4" s="261" customFormat="1" ht="15" customHeight="1" x14ac:dyDescent="0.2">
      <c r="A308" s="308">
        <v>26274</v>
      </c>
      <c r="B308" s="309" t="s">
        <v>1454</v>
      </c>
      <c r="C308" s="283" t="s">
        <v>1555</v>
      </c>
      <c r="D308" s="321" t="s">
        <v>1456</v>
      </c>
    </row>
    <row r="309" spans="1:4" s="261" customFormat="1" ht="15" customHeight="1" x14ac:dyDescent="0.2">
      <c r="A309" s="273"/>
      <c r="B309" s="274"/>
      <c r="C309" s="328" t="s">
        <v>313</v>
      </c>
      <c r="D309" s="331"/>
    </row>
    <row r="310" spans="1:4" s="261" customFormat="1" ht="15" customHeight="1" x14ac:dyDescent="0.2">
      <c r="A310" s="273">
        <v>26153</v>
      </c>
      <c r="B310" s="274" t="s">
        <v>1381</v>
      </c>
      <c r="C310" s="303" t="s">
        <v>1556</v>
      </c>
      <c r="D310" s="305">
        <v>2.12</v>
      </c>
    </row>
    <row r="311" spans="1:4" s="261" customFormat="1" ht="15" customHeight="1" x14ac:dyDescent="0.2">
      <c r="A311" s="273">
        <v>26151</v>
      </c>
      <c r="B311" s="274" t="s">
        <v>1383</v>
      </c>
      <c r="C311" s="303" t="s">
        <v>1384</v>
      </c>
      <c r="D311" s="305">
        <v>3.5</v>
      </c>
    </row>
    <row r="312" spans="1:4" s="261" customFormat="1" ht="15" customHeight="1" x14ac:dyDescent="0.2">
      <c r="A312" s="273">
        <v>26152</v>
      </c>
      <c r="B312" s="274" t="s">
        <v>1387</v>
      </c>
      <c r="C312" s="303" t="s">
        <v>1388</v>
      </c>
      <c r="D312" s="305">
        <v>4.83</v>
      </c>
    </row>
    <row r="313" spans="1:4" s="261" customFormat="1" ht="15" customHeight="1" x14ac:dyDescent="0.2">
      <c r="A313" s="273"/>
      <c r="B313" s="274"/>
      <c r="C313" s="328" t="s">
        <v>316</v>
      </c>
      <c r="D313" s="305"/>
    </row>
    <row r="314" spans="1:4" s="261" customFormat="1" ht="15" customHeight="1" x14ac:dyDescent="0.2">
      <c r="A314" s="273">
        <v>26165</v>
      </c>
      <c r="B314" s="274" t="s">
        <v>1396</v>
      </c>
      <c r="C314" s="303" t="s">
        <v>1557</v>
      </c>
      <c r="D314" s="305">
        <v>7.47</v>
      </c>
    </row>
    <row r="315" spans="1:4" s="261" customFormat="1" ht="15" customHeight="1" x14ac:dyDescent="0.2">
      <c r="A315" s="298"/>
      <c r="B315" s="299"/>
      <c r="C315" s="300" t="s">
        <v>2836</v>
      </c>
      <c r="D315" s="301"/>
    </row>
    <row r="316" spans="1:4" s="261" customFormat="1" ht="15" customHeight="1" x14ac:dyDescent="0.2">
      <c r="A316" s="273"/>
      <c r="B316" s="333"/>
      <c r="C316" s="328" t="s">
        <v>1558</v>
      </c>
      <c r="D316" s="345"/>
    </row>
    <row r="317" spans="1:4" s="261" customFormat="1" ht="27" x14ac:dyDescent="0.2">
      <c r="A317" s="273">
        <v>55057</v>
      </c>
      <c r="B317" s="274" t="s">
        <v>1421</v>
      </c>
      <c r="C317" s="303" t="s">
        <v>2837</v>
      </c>
      <c r="D317" s="305">
        <v>3.07</v>
      </c>
    </row>
    <row r="318" spans="1:4" s="261" customFormat="1" ht="15" customHeight="1" x14ac:dyDescent="0.2">
      <c r="A318" s="273">
        <v>55137</v>
      </c>
      <c r="B318" s="346" t="s">
        <v>1431</v>
      </c>
      <c r="C318" s="303" t="s">
        <v>1432</v>
      </c>
      <c r="D318" s="305">
        <v>3.0100000000000002</v>
      </c>
    </row>
    <row r="319" spans="1:4" s="261" customFormat="1" ht="15" customHeight="1" x14ac:dyDescent="0.2">
      <c r="A319" s="347">
        <v>55020</v>
      </c>
      <c r="B319" s="348" t="s">
        <v>1559</v>
      </c>
      <c r="C319" s="286" t="s">
        <v>1560</v>
      </c>
      <c r="D319" s="305">
        <v>3.26</v>
      </c>
    </row>
    <row r="320" spans="1:4" s="261" customFormat="1" ht="15" customHeight="1" x14ac:dyDescent="0.2">
      <c r="A320" s="273">
        <v>55015</v>
      </c>
      <c r="B320" s="346" t="s">
        <v>1414</v>
      </c>
      <c r="C320" s="303" t="s">
        <v>141</v>
      </c>
      <c r="D320" s="305">
        <v>6.26</v>
      </c>
    </row>
    <row r="321" spans="1:4" s="261" customFormat="1" ht="15" customHeight="1" x14ac:dyDescent="0.2">
      <c r="A321" s="273">
        <v>55045</v>
      </c>
      <c r="B321" s="346" t="s">
        <v>1417</v>
      </c>
      <c r="C321" s="303" t="s">
        <v>1561</v>
      </c>
      <c r="D321" s="305">
        <v>3.0100000000000002</v>
      </c>
    </row>
    <row r="322" spans="1:4" s="261" customFormat="1" ht="15" customHeight="1" thickBot="1" x14ac:dyDescent="0.25">
      <c r="A322" s="349">
        <v>55010</v>
      </c>
      <c r="B322" s="350" t="s">
        <v>1412</v>
      </c>
      <c r="C322" s="351" t="s">
        <v>1413</v>
      </c>
      <c r="D322" s="352">
        <v>5.27</v>
      </c>
    </row>
    <row r="323" spans="1:4" s="261" customFormat="1" ht="13.5" x14ac:dyDescent="0.2">
      <c r="A323" s="353"/>
      <c r="B323" s="354"/>
      <c r="C323" s="355"/>
      <c r="D323" s="356"/>
    </row>
    <row r="324" spans="1:4" s="261" customFormat="1" ht="13.5" x14ac:dyDescent="0.2">
      <c r="A324" s="478" t="s">
        <v>2838</v>
      </c>
      <c r="B324" s="478"/>
      <c r="C324" s="478"/>
      <c r="D324" s="478"/>
    </row>
  </sheetData>
  <mergeCells count="6">
    <mergeCell ref="A324:D324"/>
    <mergeCell ref="A2:D2"/>
    <mergeCell ref="A3:C3"/>
    <mergeCell ref="A4:B4"/>
    <mergeCell ref="C4:C5"/>
    <mergeCell ref="D4:D5"/>
  </mergeCells>
  <pageMargins left="0.70866141732283472" right="0.70866141732283472" top="0.74803149606299213" bottom="0.74803149606299213" header="0.31496062992125984" footer="0.31496062992125984"/>
  <pageSetup paperSize="9" fitToHeight="1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D2CAC-E14E-47B8-86C9-0FADA9169A91}">
  <dimension ref="A1:D319"/>
  <sheetViews>
    <sheetView showGridLines="0" showRowColHeaders="0" workbookViewId="0">
      <selection activeCell="C21" sqref="C21"/>
    </sheetView>
  </sheetViews>
  <sheetFormatPr defaultColWidth="8.7109375" defaultRowHeight="12.75" x14ac:dyDescent="0.2"/>
  <cols>
    <col min="1" max="2" width="6.42578125" style="191" customWidth="1"/>
    <col min="3" max="3" width="55.42578125" style="191" customWidth="1"/>
    <col min="4" max="4" width="7.28515625" style="191" customWidth="1"/>
    <col min="5" max="16384" width="8.7109375" style="191"/>
  </cols>
  <sheetData>
    <row r="1" spans="1:4" ht="38.1" customHeight="1" x14ac:dyDescent="0.2">
      <c r="A1" s="489" t="s">
        <v>1564</v>
      </c>
      <c r="B1" s="489"/>
      <c r="C1" s="489"/>
      <c r="D1" s="489"/>
    </row>
    <row r="2" spans="1:4" s="193" customFormat="1" ht="13.5" x14ac:dyDescent="0.25"/>
    <row r="3" spans="1:4" s="193" customFormat="1" ht="23.1" customHeight="1" x14ac:dyDescent="0.25">
      <c r="A3" s="486" t="s">
        <v>363</v>
      </c>
      <c r="B3" s="486"/>
      <c r="C3" s="487" t="s">
        <v>1448</v>
      </c>
      <c r="D3" s="487" t="s">
        <v>1449</v>
      </c>
    </row>
    <row r="4" spans="1:4" s="193" customFormat="1" ht="13.5" x14ac:dyDescent="0.25">
      <c r="A4" s="203" t="s">
        <v>367</v>
      </c>
      <c r="B4" s="203" t="s">
        <v>368</v>
      </c>
      <c r="C4" s="488"/>
      <c r="D4" s="488"/>
    </row>
    <row r="5" spans="1:4" s="193" customFormat="1" ht="27" x14ac:dyDescent="0.25">
      <c r="A5" s="198"/>
      <c r="B5" s="198"/>
      <c r="C5" s="199" t="s">
        <v>1565</v>
      </c>
      <c r="D5" s="198"/>
    </row>
    <row r="6" spans="1:4" s="193" customFormat="1" ht="13.5" x14ac:dyDescent="0.25">
      <c r="A6" s="198"/>
      <c r="B6" s="198"/>
      <c r="C6" s="197" t="s">
        <v>1566</v>
      </c>
      <c r="D6" s="198"/>
    </row>
    <row r="7" spans="1:4" s="193" customFormat="1" ht="13.5" x14ac:dyDescent="0.25">
      <c r="A7" s="198"/>
      <c r="B7" s="198"/>
      <c r="C7" s="197" t="s">
        <v>1567</v>
      </c>
      <c r="D7" s="198"/>
    </row>
    <row r="8" spans="1:4" s="193" customFormat="1" ht="13.5" x14ac:dyDescent="0.25">
      <c r="A8" s="200">
        <v>30510</v>
      </c>
      <c r="B8" s="200" t="s">
        <v>1568</v>
      </c>
      <c r="C8" s="199" t="s">
        <v>1569</v>
      </c>
      <c r="D8" s="233">
        <v>5.42</v>
      </c>
    </row>
    <row r="9" spans="1:4" s="193" customFormat="1" ht="13.5" x14ac:dyDescent="0.25">
      <c r="A9" s="200">
        <v>30517</v>
      </c>
      <c r="B9" s="200" t="s">
        <v>1570</v>
      </c>
      <c r="C9" s="199" t="s">
        <v>1571</v>
      </c>
      <c r="D9" s="233">
        <v>9.2100000000000009</v>
      </c>
    </row>
    <row r="10" spans="1:4" s="193" customFormat="1" ht="27" x14ac:dyDescent="0.25">
      <c r="A10" s="200">
        <v>30597</v>
      </c>
      <c r="B10" s="200" t="s">
        <v>1572</v>
      </c>
      <c r="C10" s="199" t="s">
        <v>1573</v>
      </c>
      <c r="D10" s="233">
        <v>0</v>
      </c>
    </row>
    <row r="11" spans="1:4" s="193" customFormat="1" ht="13.5" x14ac:dyDescent="0.25">
      <c r="A11" s="200">
        <v>30630</v>
      </c>
      <c r="B11" s="200" t="s">
        <v>1044</v>
      </c>
      <c r="C11" s="199" t="s">
        <v>1574</v>
      </c>
      <c r="D11" s="233">
        <v>0</v>
      </c>
    </row>
    <row r="12" spans="1:4" s="193" customFormat="1" ht="13.5" x14ac:dyDescent="0.25">
      <c r="A12" s="200">
        <v>30650</v>
      </c>
      <c r="B12" s="200" t="s">
        <v>1575</v>
      </c>
      <c r="C12" s="199" t="s">
        <v>1576</v>
      </c>
      <c r="D12" s="233">
        <v>0</v>
      </c>
    </row>
    <row r="13" spans="1:4" s="193" customFormat="1" ht="27" x14ac:dyDescent="0.25">
      <c r="A13" s="200">
        <v>30677</v>
      </c>
      <c r="B13" s="200" t="s">
        <v>1577</v>
      </c>
      <c r="C13" s="199" t="s">
        <v>1578</v>
      </c>
      <c r="D13" s="233">
        <v>0</v>
      </c>
    </row>
    <row r="14" spans="1:4" s="193" customFormat="1" ht="13.5" x14ac:dyDescent="0.25">
      <c r="A14" s="198"/>
      <c r="B14" s="198"/>
      <c r="C14" s="197" t="s">
        <v>1579</v>
      </c>
      <c r="D14" s="234"/>
    </row>
    <row r="15" spans="1:4" s="193" customFormat="1" ht="13.5" x14ac:dyDescent="0.25">
      <c r="A15" s="200">
        <v>31037</v>
      </c>
      <c r="B15" s="200" t="s">
        <v>1580</v>
      </c>
      <c r="C15" s="199" t="s">
        <v>1581</v>
      </c>
      <c r="D15" s="233">
        <v>11.9</v>
      </c>
    </row>
    <row r="16" spans="1:4" s="193" customFormat="1" ht="27" x14ac:dyDescent="0.25">
      <c r="A16" s="200">
        <v>31057</v>
      </c>
      <c r="B16" s="200" t="s">
        <v>1582</v>
      </c>
      <c r="C16" s="199" t="s">
        <v>1583</v>
      </c>
      <c r="D16" s="233">
        <v>12.75</v>
      </c>
    </row>
    <row r="17" spans="1:4" s="193" customFormat="1" ht="27" x14ac:dyDescent="0.25">
      <c r="A17" s="200">
        <v>31077</v>
      </c>
      <c r="B17" s="200" t="s">
        <v>1002</v>
      </c>
      <c r="C17" s="199" t="s">
        <v>1584</v>
      </c>
      <c r="D17" s="233">
        <v>0</v>
      </c>
    </row>
    <row r="18" spans="1:4" s="193" customFormat="1" ht="27" x14ac:dyDescent="0.25">
      <c r="A18" s="200">
        <v>31097</v>
      </c>
      <c r="B18" s="200" t="s">
        <v>1436</v>
      </c>
      <c r="C18" s="199" t="s">
        <v>1585</v>
      </c>
      <c r="D18" s="233">
        <v>0</v>
      </c>
    </row>
    <row r="19" spans="1:4" s="193" customFormat="1" ht="13.5" x14ac:dyDescent="0.25">
      <c r="A19" s="200">
        <v>31107</v>
      </c>
      <c r="B19" s="200" t="s">
        <v>1586</v>
      </c>
      <c r="C19" s="199" t="s">
        <v>1587</v>
      </c>
      <c r="D19" s="233">
        <v>22.28</v>
      </c>
    </row>
    <row r="20" spans="1:4" s="193" customFormat="1" ht="13.5" x14ac:dyDescent="0.25">
      <c r="A20" s="198"/>
      <c r="B20" s="198"/>
      <c r="C20" s="197" t="s">
        <v>1588</v>
      </c>
      <c r="D20" s="234"/>
    </row>
    <row r="21" spans="1:4" s="193" customFormat="1" ht="13.5" x14ac:dyDescent="0.25">
      <c r="A21" s="200">
        <v>31565</v>
      </c>
      <c r="B21" s="200" t="s">
        <v>1589</v>
      </c>
      <c r="C21" s="199" t="s">
        <v>1590</v>
      </c>
      <c r="D21" s="233">
        <v>32.01</v>
      </c>
    </row>
    <row r="22" spans="1:4" s="193" customFormat="1" ht="13.5" x14ac:dyDescent="0.25">
      <c r="A22" s="201">
        <v>31590</v>
      </c>
      <c r="B22" s="201" t="s">
        <v>1591</v>
      </c>
      <c r="C22" s="202" t="s">
        <v>1592</v>
      </c>
      <c r="D22" s="235">
        <v>46.05</v>
      </c>
    </row>
    <row r="23" spans="1:4" s="193" customFormat="1" ht="13.5" x14ac:dyDescent="0.25"/>
    <row r="24" spans="1:4" s="193" customFormat="1" ht="13.5" x14ac:dyDescent="0.25">
      <c r="A24" s="196" t="s">
        <v>1593</v>
      </c>
    </row>
    <row r="25" spans="1:4" s="193" customFormat="1" ht="13.5" x14ac:dyDescent="0.25"/>
    <row r="26" spans="1:4" s="193" customFormat="1" ht="13.5" x14ac:dyDescent="0.25"/>
    <row r="27" spans="1:4" s="193" customFormat="1" ht="13.5" x14ac:dyDescent="0.25"/>
    <row r="28" spans="1:4" s="193" customFormat="1" ht="13.5" x14ac:dyDescent="0.25"/>
    <row r="29" spans="1:4" s="193" customFormat="1" ht="13.5" x14ac:dyDescent="0.25"/>
    <row r="30" spans="1:4" s="193" customFormat="1" ht="13.5" x14ac:dyDescent="0.25"/>
    <row r="31" spans="1:4" s="193" customFormat="1" ht="13.5" x14ac:dyDescent="0.25"/>
    <row r="32" spans="1:4" s="193" customFormat="1" ht="13.5" x14ac:dyDescent="0.25"/>
    <row r="33" s="193" customFormat="1" ht="13.5" x14ac:dyDescent="0.25"/>
    <row r="34" s="193" customFormat="1" ht="13.5" x14ac:dyDescent="0.25"/>
    <row r="35" s="193" customFormat="1" ht="13.5" x14ac:dyDescent="0.25"/>
    <row r="36" s="193" customFormat="1" ht="13.5" x14ac:dyDescent="0.25"/>
    <row r="37" s="193" customFormat="1" ht="13.5" x14ac:dyDescent="0.25"/>
    <row r="38" s="193" customFormat="1" ht="13.5" x14ac:dyDescent="0.25"/>
    <row r="39" s="193" customFormat="1" ht="13.5" x14ac:dyDescent="0.25"/>
    <row r="40" s="193" customFormat="1" ht="13.5" x14ac:dyDescent="0.25"/>
    <row r="41" s="193" customFormat="1" ht="13.5" x14ac:dyDescent="0.25"/>
    <row r="42" s="193" customFormat="1" ht="13.5" x14ac:dyDescent="0.25"/>
    <row r="43" s="193" customFormat="1" ht="13.5" x14ac:dyDescent="0.25"/>
    <row r="44" s="193" customFormat="1" ht="13.5" x14ac:dyDescent="0.25"/>
    <row r="45" s="193" customFormat="1" ht="13.5" x14ac:dyDescent="0.25"/>
    <row r="46" s="193" customFormat="1" ht="13.5" x14ac:dyDescent="0.25"/>
    <row r="47" s="193" customFormat="1" ht="13.5" x14ac:dyDescent="0.25"/>
    <row r="48" s="193" customFormat="1" ht="13.5" x14ac:dyDescent="0.25"/>
    <row r="49" s="193" customFormat="1" ht="13.5" x14ac:dyDescent="0.25"/>
    <row r="50" s="193" customFormat="1" ht="13.5" x14ac:dyDescent="0.25"/>
    <row r="51" s="193" customFormat="1" ht="13.5" x14ac:dyDescent="0.25"/>
    <row r="52" s="193" customFormat="1" ht="13.5" x14ac:dyDescent="0.25"/>
    <row r="53" s="193" customFormat="1" ht="13.5" x14ac:dyDescent="0.25"/>
    <row r="54" s="193" customFormat="1" ht="13.5" x14ac:dyDescent="0.25"/>
    <row r="55" s="193" customFormat="1" ht="13.5" x14ac:dyDescent="0.25"/>
    <row r="56" s="193" customFormat="1" ht="13.5" x14ac:dyDescent="0.25"/>
    <row r="57" s="193" customFormat="1" ht="13.5" x14ac:dyDescent="0.25"/>
    <row r="58" s="193" customFormat="1" ht="13.5" x14ac:dyDescent="0.25"/>
    <row r="59" s="193" customFormat="1" ht="13.5" x14ac:dyDescent="0.25"/>
    <row r="60" s="193" customFormat="1" ht="13.5" x14ac:dyDescent="0.25"/>
    <row r="61" s="193" customFormat="1" ht="13.5" x14ac:dyDescent="0.25"/>
    <row r="62" s="193" customFormat="1" ht="13.5" x14ac:dyDescent="0.25"/>
    <row r="63" s="193" customFormat="1" ht="13.5" x14ac:dyDescent="0.25"/>
    <row r="64" s="193" customFormat="1" ht="13.5" x14ac:dyDescent="0.25"/>
    <row r="65" s="193" customFormat="1" ht="13.5" x14ac:dyDescent="0.25"/>
    <row r="66" s="193" customFormat="1" ht="13.5" x14ac:dyDescent="0.25"/>
    <row r="67" s="193" customFormat="1" ht="13.5" x14ac:dyDescent="0.25"/>
    <row r="68" s="193" customFormat="1" ht="13.5" x14ac:dyDescent="0.25"/>
    <row r="69" s="193" customFormat="1" ht="13.5" x14ac:dyDescent="0.25"/>
    <row r="70" s="193" customFormat="1" ht="13.5" x14ac:dyDescent="0.25"/>
    <row r="71" s="193" customFormat="1" ht="13.5" x14ac:dyDescent="0.25"/>
    <row r="72" s="193" customFormat="1" ht="13.5" x14ac:dyDescent="0.25"/>
    <row r="73" s="193" customFormat="1" ht="13.5" x14ac:dyDescent="0.25"/>
    <row r="74" s="193" customFormat="1" ht="13.5" x14ac:dyDescent="0.25"/>
    <row r="75" s="193" customFormat="1" ht="13.5" x14ac:dyDescent="0.25"/>
    <row r="76" s="193" customFormat="1" ht="13.5" x14ac:dyDescent="0.25"/>
    <row r="77" s="193" customFormat="1" ht="13.5" x14ac:dyDescent="0.25"/>
    <row r="78" s="193" customFormat="1" ht="13.5" x14ac:dyDescent="0.25"/>
    <row r="79" s="193" customFormat="1" ht="13.5" x14ac:dyDescent="0.25"/>
    <row r="80" s="193" customFormat="1" ht="13.5" x14ac:dyDescent="0.25"/>
    <row r="81" s="193" customFormat="1" ht="13.5" x14ac:dyDescent="0.25"/>
    <row r="82" s="193" customFormat="1" ht="13.5" x14ac:dyDescent="0.25"/>
    <row r="83" s="193" customFormat="1" ht="13.5" x14ac:dyDescent="0.25"/>
    <row r="84" s="193" customFormat="1" ht="13.5" x14ac:dyDescent="0.25"/>
    <row r="85" s="193" customFormat="1" ht="13.5" x14ac:dyDescent="0.25"/>
    <row r="86" s="193" customFormat="1" ht="13.5" x14ac:dyDescent="0.25"/>
    <row r="87" s="193" customFormat="1" ht="13.5" x14ac:dyDescent="0.25"/>
    <row r="88" s="193" customFormat="1" ht="13.5" x14ac:dyDescent="0.25"/>
    <row r="89" s="193" customFormat="1" ht="13.5" x14ac:dyDescent="0.25"/>
    <row r="90" s="193" customFormat="1" ht="13.5" x14ac:dyDescent="0.25"/>
    <row r="91" s="193" customFormat="1" ht="13.5" x14ac:dyDescent="0.25"/>
    <row r="92" s="193" customFormat="1" ht="13.5" x14ac:dyDescent="0.25"/>
    <row r="93" s="193" customFormat="1" ht="13.5" x14ac:dyDescent="0.25"/>
    <row r="94" s="193" customFormat="1" ht="13.5" x14ac:dyDescent="0.25"/>
    <row r="95" s="193" customFormat="1" ht="13.5" x14ac:dyDescent="0.25"/>
    <row r="96" s="193" customFormat="1" ht="13.5" x14ac:dyDescent="0.25"/>
    <row r="97" s="193" customFormat="1" ht="13.5" x14ac:dyDescent="0.25"/>
    <row r="98" s="193" customFormat="1" ht="13.5" x14ac:dyDescent="0.25"/>
    <row r="99" s="193" customFormat="1" ht="13.5" x14ac:dyDescent="0.25"/>
    <row r="100" s="193" customFormat="1" ht="13.5" x14ac:dyDescent="0.25"/>
    <row r="101" s="193" customFormat="1" ht="13.5" x14ac:dyDescent="0.25"/>
    <row r="102" s="193" customFormat="1" ht="13.5" x14ac:dyDescent="0.25"/>
    <row r="103" s="193" customFormat="1" ht="13.5" x14ac:dyDescent="0.25"/>
    <row r="104" s="193" customFormat="1" ht="13.5" x14ac:dyDescent="0.25"/>
    <row r="105" s="193" customFormat="1" ht="13.5" x14ac:dyDescent="0.25"/>
    <row r="106" s="193" customFormat="1" ht="13.5" x14ac:dyDescent="0.25"/>
    <row r="107" s="193" customFormat="1" ht="13.5" x14ac:dyDescent="0.25"/>
    <row r="108" s="193" customFormat="1" ht="13.5" x14ac:dyDescent="0.25"/>
    <row r="109" s="193" customFormat="1" ht="13.5" x14ac:dyDescent="0.25"/>
    <row r="110" s="193" customFormat="1" ht="13.5" x14ac:dyDescent="0.25"/>
    <row r="111" s="193" customFormat="1" ht="13.5" x14ac:dyDescent="0.25"/>
    <row r="112" s="193" customFormat="1" ht="13.5" x14ac:dyDescent="0.25"/>
    <row r="113" s="193" customFormat="1" ht="13.5" x14ac:dyDescent="0.25"/>
    <row r="114" s="193" customFormat="1" ht="13.5" x14ac:dyDescent="0.25"/>
    <row r="115" s="193" customFormat="1" ht="13.5" x14ac:dyDescent="0.25"/>
    <row r="116" s="193" customFormat="1" ht="13.5" x14ac:dyDescent="0.25"/>
    <row r="117" s="193" customFormat="1" ht="13.5" x14ac:dyDescent="0.25"/>
    <row r="118" s="193" customFormat="1" ht="13.5" x14ac:dyDescent="0.25"/>
    <row r="119" s="193" customFormat="1" ht="13.5" x14ac:dyDescent="0.25"/>
    <row r="120" s="193" customFormat="1" ht="13.5" x14ac:dyDescent="0.25"/>
    <row r="121" s="193" customFormat="1" ht="13.5" x14ac:dyDescent="0.25"/>
    <row r="122" s="193" customFormat="1" ht="13.5" x14ac:dyDescent="0.25"/>
    <row r="123" s="193" customFormat="1" ht="13.5" x14ac:dyDescent="0.25"/>
    <row r="124" s="193" customFormat="1" ht="13.5" x14ac:dyDescent="0.25"/>
    <row r="125" s="193" customFormat="1" ht="13.5" x14ac:dyDescent="0.25"/>
    <row r="126" s="193" customFormat="1" ht="13.5" x14ac:dyDescent="0.25"/>
    <row r="127" s="193" customFormat="1" ht="13.5" x14ac:dyDescent="0.25"/>
    <row r="128" s="193" customFormat="1" ht="13.5" x14ac:dyDescent="0.25"/>
    <row r="129" s="193" customFormat="1" ht="13.5" x14ac:dyDescent="0.25"/>
    <row r="130" s="193" customFormat="1" ht="13.5" x14ac:dyDescent="0.25"/>
    <row r="131" s="193" customFormat="1" ht="13.5" x14ac:dyDescent="0.25"/>
    <row r="132" s="193" customFormat="1" ht="13.5" x14ac:dyDescent="0.25"/>
    <row r="133" s="193" customFormat="1" ht="13.5" x14ac:dyDescent="0.25"/>
    <row r="134" s="193" customFormat="1" ht="13.5" x14ac:dyDescent="0.25"/>
    <row r="135" s="193" customFormat="1" ht="13.5" x14ac:dyDescent="0.25"/>
    <row r="136" s="193" customFormat="1" ht="13.5" x14ac:dyDescent="0.25"/>
    <row r="137" s="193" customFormat="1" ht="13.5" x14ac:dyDescent="0.25"/>
    <row r="138" s="193" customFormat="1" ht="13.5" x14ac:dyDescent="0.25"/>
    <row r="139" s="193" customFormat="1" ht="13.5" x14ac:dyDescent="0.25"/>
    <row r="140" s="193" customFormat="1" ht="13.5" x14ac:dyDescent="0.25"/>
    <row r="141" s="193" customFormat="1" ht="13.5" x14ac:dyDescent="0.25"/>
    <row r="142" s="193" customFormat="1" ht="13.5" x14ac:dyDescent="0.25"/>
    <row r="143" s="193" customFormat="1" ht="13.5" x14ac:dyDescent="0.25"/>
    <row r="144" s="193" customFormat="1" ht="13.5" x14ac:dyDescent="0.25"/>
    <row r="145" s="193" customFormat="1" ht="13.5" x14ac:dyDescent="0.25"/>
    <row r="146" s="193" customFormat="1" ht="13.5" x14ac:dyDescent="0.25"/>
    <row r="147" s="193" customFormat="1" ht="13.5" x14ac:dyDescent="0.25"/>
    <row r="148" s="193" customFormat="1" ht="13.5" x14ac:dyDescent="0.25"/>
    <row r="149" s="193" customFormat="1" ht="13.5" x14ac:dyDescent="0.25"/>
    <row r="150" s="193" customFormat="1" ht="13.5" x14ac:dyDescent="0.25"/>
    <row r="151" s="193" customFormat="1" ht="13.5" x14ac:dyDescent="0.25"/>
    <row r="152" s="193" customFormat="1" ht="13.5" x14ac:dyDescent="0.25"/>
    <row r="153" s="193" customFormat="1" ht="13.5" x14ac:dyDescent="0.25"/>
    <row r="154" s="193" customFormat="1" ht="13.5" x14ac:dyDescent="0.25"/>
    <row r="155" s="193" customFormat="1" ht="13.5" x14ac:dyDescent="0.25"/>
    <row r="156" s="193" customFormat="1" ht="13.5" x14ac:dyDescent="0.25"/>
    <row r="157" s="193" customFormat="1" ht="13.5" x14ac:dyDescent="0.25"/>
    <row r="158" s="193" customFormat="1" ht="13.5" x14ac:dyDescent="0.25"/>
    <row r="159" s="193" customFormat="1" ht="13.5" x14ac:dyDescent="0.25"/>
    <row r="160" s="193" customFormat="1" ht="13.5" x14ac:dyDescent="0.25"/>
    <row r="161" s="193" customFormat="1" ht="13.5" x14ac:dyDescent="0.25"/>
    <row r="162" s="193" customFormat="1" ht="13.5" x14ac:dyDescent="0.25"/>
    <row r="163" s="193" customFormat="1" ht="13.5" x14ac:dyDescent="0.25"/>
    <row r="164" s="193" customFormat="1" ht="13.5" x14ac:dyDescent="0.25"/>
    <row r="165" s="193" customFormat="1" ht="13.5" x14ac:dyDescent="0.25"/>
    <row r="166" s="193" customFormat="1" ht="13.5" x14ac:dyDescent="0.25"/>
    <row r="167" s="193" customFormat="1" ht="13.5" x14ac:dyDescent="0.25"/>
    <row r="168" s="193" customFormat="1" ht="13.5" x14ac:dyDescent="0.25"/>
    <row r="169" s="193" customFormat="1" ht="13.5" x14ac:dyDescent="0.25"/>
    <row r="170" s="193" customFormat="1" ht="13.5" x14ac:dyDescent="0.25"/>
    <row r="171" s="193" customFormat="1" ht="13.5" x14ac:dyDescent="0.25"/>
    <row r="172" s="193" customFormat="1" ht="13.5" x14ac:dyDescent="0.25"/>
    <row r="173" s="193" customFormat="1" ht="13.5" x14ac:dyDescent="0.25"/>
    <row r="174" s="193" customFormat="1" ht="13.5" x14ac:dyDescent="0.25"/>
    <row r="175" s="193" customFormat="1" ht="13.5" x14ac:dyDescent="0.25"/>
    <row r="176" s="193" customFormat="1" ht="13.5" x14ac:dyDescent="0.25"/>
    <row r="177" s="193" customFormat="1" ht="13.5" x14ac:dyDescent="0.25"/>
    <row r="178" s="193" customFormat="1" ht="13.5" x14ac:dyDescent="0.25"/>
    <row r="179" s="193" customFormat="1" ht="13.5" x14ac:dyDescent="0.25"/>
    <row r="180" s="193" customFormat="1" ht="13.5" x14ac:dyDescent="0.25"/>
    <row r="181" s="193" customFormat="1" ht="13.5" x14ac:dyDescent="0.25"/>
    <row r="182" s="193" customFormat="1" ht="13.5" x14ac:dyDescent="0.25"/>
    <row r="183" s="193" customFormat="1" ht="13.5" x14ac:dyDescent="0.25"/>
    <row r="184" s="193" customFormat="1" ht="13.5" x14ac:dyDescent="0.25"/>
    <row r="185" s="193" customFormat="1" ht="13.5" x14ac:dyDescent="0.25"/>
    <row r="186" s="193" customFormat="1" ht="13.5" x14ac:dyDescent="0.25"/>
    <row r="187" s="193" customFormat="1" ht="13.5" x14ac:dyDescent="0.25"/>
    <row r="188" s="193" customFormat="1" ht="13.5" x14ac:dyDescent="0.25"/>
    <row r="189" s="193" customFormat="1" ht="13.5" x14ac:dyDescent="0.25"/>
    <row r="190" s="193" customFormat="1" ht="13.5" x14ac:dyDescent="0.25"/>
    <row r="191" s="193" customFormat="1" ht="13.5" x14ac:dyDescent="0.25"/>
    <row r="192" s="193" customFormat="1" ht="13.5" x14ac:dyDescent="0.25"/>
    <row r="193" s="193" customFormat="1" ht="13.5" x14ac:dyDescent="0.25"/>
    <row r="194" s="193" customFormat="1" ht="13.5" x14ac:dyDescent="0.25"/>
    <row r="195" s="193" customFormat="1" ht="13.5" x14ac:dyDescent="0.25"/>
    <row r="196" s="193" customFormat="1" ht="13.5" x14ac:dyDescent="0.25"/>
    <row r="197" s="193" customFormat="1" ht="13.5" x14ac:dyDescent="0.25"/>
    <row r="198" s="193" customFormat="1" ht="13.5" x14ac:dyDescent="0.25"/>
    <row r="199" s="193" customFormat="1" ht="13.5" x14ac:dyDescent="0.25"/>
    <row r="200" s="193" customFormat="1" ht="13.5" x14ac:dyDescent="0.25"/>
    <row r="201" s="193" customFormat="1" ht="13.5" x14ac:dyDescent="0.25"/>
    <row r="202" s="193" customFormat="1" ht="13.5" x14ac:dyDescent="0.25"/>
    <row r="203" s="193" customFormat="1" ht="13.5" x14ac:dyDescent="0.25"/>
    <row r="204" s="193" customFormat="1" ht="13.5" x14ac:dyDescent="0.25"/>
    <row r="205" s="193" customFormat="1" ht="13.5" x14ac:dyDescent="0.25"/>
    <row r="206" s="193" customFormat="1" ht="13.5" x14ac:dyDescent="0.25"/>
    <row r="207" s="193" customFormat="1" ht="13.5" x14ac:dyDescent="0.25"/>
    <row r="208" s="193" customFormat="1" ht="13.5" x14ac:dyDescent="0.25"/>
    <row r="209" s="193" customFormat="1" ht="13.5" x14ac:dyDescent="0.25"/>
    <row r="210" s="193" customFormat="1" ht="13.5" x14ac:dyDescent="0.25"/>
    <row r="211" s="193" customFormat="1" ht="13.5" x14ac:dyDescent="0.25"/>
    <row r="212" s="193" customFormat="1" ht="13.5" x14ac:dyDescent="0.25"/>
    <row r="213" s="193" customFormat="1" ht="13.5" x14ac:dyDescent="0.25"/>
    <row r="214" s="193" customFormat="1" ht="13.5" x14ac:dyDescent="0.25"/>
    <row r="215" s="193" customFormat="1" ht="13.5" x14ac:dyDescent="0.25"/>
    <row r="216" s="193" customFormat="1" ht="13.5" x14ac:dyDescent="0.25"/>
    <row r="217" s="193" customFormat="1" ht="13.5" x14ac:dyDescent="0.25"/>
    <row r="218" s="193" customFormat="1" ht="13.5" x14ac:dyDescent="0.25"/>
    <row r="219" s="193" customFormat="1" ht="13.5" x14ac:dyDescent="0.25"/>
    <row r="220" s="193" customFormat="1" ht="13.5" x14ac:dyDescent="0.25"/>
    <row r="221" s="193" customFormat="1" ht="13.5" x14ac:dyDescent="0.25"/>
    <row r="222" s="193" customFormat="1" ht="13.5" x14ac:dyDescent="0.25"/>
    <row r="223" s="193" customFormat="1" ht="13.5" x14ac:dyDescent="0.25"/>
    <row r="224" s="193" customFormat="1" ht="13.5" x14ac:dyDescent="0.25"/>
    <row r="225" s="193" customFormat="1" ht="13.5" x14ac:dyDescent="0.25"/>
    <row r="226" s="193" customFormat="1" ht="13.5" x14ac:dyDescent="0.25"/>
    <row r="227" s="193" customFormat="1" ht="13.5" x14ac:dyDescent="0.25"/>
    <row r="228" s="193" customFormat="1" ht="13.5" x14ac:dyDescent="0.25"/>
    <row r="229" s="193" customFormat="1" ht="13.5" x14ac:dyDescent="0.25"/>
    <row r="230" s="193" customFormat="1" ht="13.5" x14ac:dyDescent="0.25"/>
    <row r="231" s="193" customFormat="1" ht="13.5" x14ac:dyDescent="0.25"/>
    <row r="232" s="193" customFormat="1" ht="13.5" x14ac:dyDescent="0.25"/>
    <row r="233" s="193" customFormat="1" ht="13.5" x14ac:dyDescent="0.25"/>
    <row r="234" s="193" customFormat="1" ht="13.5" x14ac:dyDescent="0.25"/>
    <row r="235" s="193" customFormat="1" ht="13.5" x14ac:dyDescent="0.25"/>
    <row r="236" s="193" customFormat="1" ht="13.5" x14ac:dyDescent="0.25"/>
    <row r="237" s="193" customFormat="1" ht="13.5" x14ac:dyDescent="0.25"/>
    <row r="238" s="193" customFormat="1" ht="13.5" x14ac:dyDescent="0.25"/>
    <row r="239" s="193" customFormat="1" ht="13.5" x14ac:dyDescent="0.25"/>
    <row r="240" s="193" customFormat="1" ht="13.5" x14ac:dyDescent="0.25"/>
    <row r="241" s="193" customFormat="1" ht="13.5" x14ac:dyDescent="0.25"/>
    <row r="242" s="193" customFormat="1" ht="13.5" x14ac:dyDescent="0.25"/>
    <row r="243" s="193" customFormat="1" ht="13.5" x14ac:dyDescent="0.25"/>
    <row r="244" s="193" customFormat="1" ht="13.5" x14ac:dyDescent="0.25"/>
    <row r="245" s="193" customFormat="1" ht="13.5" x14ac:dyDescent="0.25"/>
    <row r="246" s="193" customFormat="1" ht="13.5" x14ac:dyDescent="0.25"/>
    <row r="247" s="193" customFormat="1" ht="13.5" x14ac:dyDescent="0.25"/>
    <row r="248" s="193" customFormat="1" ht="13.5" x14ac:dyDescent="0.25"/>
    <row r="249" s="193" customFormat="1" ht="13.5" x14ac:dyDescent="0.25"/>
    <row r="250" s="193" customFormat="1" ht="13.5" x14ac:dyDescent="0.25"/>
    <row r="251" s="193" customFormat="1" ht="13.5" x14ac:dyDescent="0.25"/>
    <row r="252" s="193" customFormat="1" ht="13.5" x14ac:dyDescent="0.25"/>
    <row r="253" s="193" customFormat="1" ht="13.5" x14ac:dyDescent="0.25"/>
    <row r="254" s="193" customFormat="1" ht="13.5" x14ac:dyDescent="0.25"/>
    <row r="255" s="193" customFormat="1" ht="13.5" x14ac:dyDescent="0.25"/>
    <row r="256" s="193" customFormat="1" ht="13.5" x14ac:dyDescent="0.25"/>
    <row r="257" s="193" customFormat="1" ht="13.5" x14ac:dyDescent="0.25"/>
    <row r="258" s="193" customFormat="1" ht="13.5" x14ac:dyDescent="0.25"/>
    <row r="259" s="193" customFormat="1" ht="13.5" x14ac:dyDescent="0.25"/>
    <row r="260" s="193" customFormat="1" ht="13.5" x14ac:dyDescent="0.25"/>
    <row r="261" s="193" customFormat="1" ht="13.5" x14ac:dyDescent="0.25"/>
    <row r="262" s="193" customFormat="1" ht="13.5" x14ac:dyDescent="0.25"/>
    <row r="263" s="193" customFormat="1" ht="13.5" x14ac:dyDescent="0.25"/>
    <row r="264" s="193" customFormat="1" ht="13.5" x14ac:dyDescent="0.25"/>
    <row r="265" s="193" customFormat="1" ht="13.5" x14ac:dyDescent="0.25"/>
    <row r="266" s="193" customFormat="1" ht="13.5" x14ac:dyDescent="0.25"/>
    <row r="267" s="193" customFormat="1" ht="13.5" x14ac:dyDescent="0.25"/>
    <row r="268" s="193" customFormat="1" ht="13.5" x14ac:dyDescent="0.25"/>
    <row r="269" s="193" customFormat="1" ht="13.5" x14ac:dyDescent="0.25"/>
    <row r="270" s="193" customFormat="1" ht="13.5" x14ac:dyDescent="0.25"/>
    <row r="271" s="193" customFormat="1" ht="13.5" x14ac:dyDescent="0.25"/>
    <row r="272" s="193" customFormat="1" ht="13.5" x14ac:dyDescent="0.25"/>
    <row r="273" s="193" customFormat="1" ht="13.5" x14ac:dyDescent="0.25"/>
    <row r="274" s="193" customFormat="1" ht="13.5" x14ac:dyDescent="0.25"/>
    <row r="275" s="193" customFormat="1" ht="13.5" x14ac:dyDescent="0.25"/>
    <row r="276" s="193" customFormat="1" ht="13.5" x14ac:dyDescent="0.25"/>
    <row r="277" s="193" customFormat="1" ht="13.5" x14ac:dyDescent="0.25"/>
    <row r="278" s="193" customFormat="1" ht="13.5" x14ac:dyDescent="0.25"/>
    <row r="279" s="193" customFormat="1" ht="13.5" x14ac:dyDescent="0.25"/>
    <row r="280" s="193" customFormat="1" ht="13.5" x14ac:dyDescent="0.25"/>
    <row r="281" s="193" customFormat="1" ht="13.5" x14ac:dyDescent="0.25"/>
    <row r="282" s="193" customFormat="1" ht="13.5" x14ac:dyDescent="0.25"/>
    <row r="283" s="193" customFormat="1" ht="13.5" x14ac:dyDescent="0.25"/>
    <row r="284" s="193" customFormat="1" ht="13.5" x14ac:dyDescent="0.25"/>
    <row r="285" s="193" customFormat="1" ht="13.5" x14ac:dyDescent="0.25"/>
    <row r="286" s="193" customFormat="1" ht="13.5" x14ac:dyDescent="0.25"/>
    <row r="287" s="193" customFormat="1" ht="13.5" x14ac:dyDescent="0.25"/>
    <row r="288" s="193" customFormat="1" ht="13.5" x14ac:dyDescent="0.25"/>
    <row r="289" s="193" customFormat="1" ht="13.5" x14ac:dyDescent="0.25"/>
    <row r="290" s="193" customFormat="1" ht="13.5" x14ac:dyDescent="0.25"/>
    <row r="291" s="193" customFormat="1" ht="13.5" x14ac:dyDescent="0.25"/>
    <row r="292" s="193" customFormat="1" ht="13.5" x14ac:dyDescent="0.25"/>
    <row r="293" s="193" customFormat="1" ht="13.5" x14ac:dyDescent="0.25"/>
    <row r="294" s="193" customFormat="1" ht="13.5" x14ac:dyDescent="0.25"/>
    <row r="295" s="193" customFormat="1" ht="13.5" x14ac:dyDescent="0.25"/>
    <row r="296" s="193" customFormat="1" ht="13.5" x14ac:dyDescent="0.25"/>
    <row r="297" s="193" customFormat="1" ht="13.5" x14ac:dyDescent="0.25"/>
    <row r="298" s="193" customFormat="1" ht="13.5" x14ac:dyDescent="0.25"/>
    <row r="299" s="193" customFormat="1" ht="13.5" x14ac:dyDescent="0.25"/>
    <row r="300" s="193" customFormat="1" ht="13.5" x14ac:dyDescent="0.25"/>
    <row r="301" s="193" customFormat="1" ht="13.5" x14ac:dyDescent="0.25"/>
    <row r="302" s="193" customFormat="1" ht="13.5" x14ac:dyDescent="0.25"/>
    <row r="303" s="193" customFormat="1" ht="13.5" x14ac:dyDescent="0.25"/>
    <row r="304" s="193" customFormat="1" ht="13.5" x14ac:dyDescent="0.25"/>
    <row r="305" s="193" customFormat="1" ht="13.5" x14ac:dyDescent="0.25"/>
    <row r="306" s="193" customFormat="1" ht="13.5" x14ac:dyDescent="0.25"/>
    <row r="307" s="193" customFormat="1" ht="13.5" x14ac:dyDescent="0.25"/>
    <row r="308" s="193" customFormat="1" ht="13.5" x14ac:dyDescent="0.25"/>
    <row r="309" s="193" customFormat="1" ht="13.5" x14ac:dyDescent="0.25"/>
    <row r="310" s="193" customFormat="1" ht="13.5" x14ac:dyDescent="0.25"/>
    <row r="311" s="193" customFormat="1" ht="13.5" x14ac:dyDescent="0.25"/>
    <row r="312" s="193" customFormat="1" ht="13.5" x14ac:dyDescent="0.25"/>
    <row r="313" s="193" customFormat="1" ht="13.5" x14ac:dyDescent="0.25"/>
    <row r="314" s="193" customFormat="1" ht="13.5" x14ac:dyDescent="0.25"/>
    <row r="315" s="193" customFormat="1" ht="13.5" x14ac:dyDescent="0.25"/>
    <row r="316" s="193" customFormat="1" ht="13.5" x14ac:dyDescent="0.25"/>
    <row r="317" s="193" customFormat="1" ht="13.5" x14ac:dyDescent="0.25"/>
    <row r="318" s="193" customFormat="1" ht="13.5" x14ac:dyDescent="0.25"/>
    <row r="319" s="193" customFormat="1" ht="13.5" x14ac:dyDescent="0.25"/>
  </sheetData>
  <mergeCells count="4">
    <mergeCell ref="A3:B3"/>
    <mergeCell ref="C3:C4"/>
    <mergeCell ref="D3:D4"/>
    <mergeCell ref="A1:D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AD28B-D12C-4A32-8808-1FB85EBFCFBC}">
  <dimension ref="A1:D319"/>
  <sheetViews>
    <sheetView showGridLines="0" tabSelected="1" topLeftCell="A3" zoomScale="120" zoomScaleNormal="120" workbookViewId="0">
      <selection activeCell="A16" sqref="A16"/>
    </sheetView>
  </sheetViews>
  <sheetFormatPr defaultColWidth="8.7109375" defaultRowHeight="12.75" x14ac:dyDescent="0.2"/>
  <cols>
    <col min="1" max="2" width="6.42578125" style="191" customWidth="1"/>
    <col min="3" max="3" width="55.42578125" style="191" customWidth="1"/>
    <col min="4" max="4" width="12.140625" style="191" customWidth="1"/>
    <col min="5" max="16384" width="8.7109375" style="191"/>
  </cols>
  <sheetData>
    <row r="1" spans="1:4" ht="38.1" customHeight="1" x14ac:dyDescent="0.2">
      <c r="A1" s="494" t="s">
        <v>1594</v>
      </c>
      <c r="B1" s="494"/>
      <c r="C1" s="494"/>
      <c r="D1" s="494"/>
    </row>
    <row r="2" spans="1:4" s="193" customFormat="1" ht="14.25" thickBot="1" x14ac:dyDescent="0.3">
      <c r="A2" s="262"/>
      <c r="B2" s="263"/>
      <c r="C2" s="264"/>
      <c r="D2" s="265"/>
    </row>
    <row r="3" spans="1:4" s="193" customFormat="1" ht="23.1" customHeight="1" thickBot="1" x14ac:dyDescent="0.3">
      <c r="A3" s="490" t="s">
        <v>363</v>
      </c>
      <c r="B3" s="491"/>
      <c r="C3" s="492" t="s">
        <v>364</v>
      </c>
      <c r="D3" s="484" t="s">
        <v>2783</v>
      </c>
    </row>
    <row r="4" spans="1:4" s="193" customFormat="1" ht="14.25" thickBot="1" x14ac:dyDescent="0.3">
      <c r="A4" s="445" t="s">
        <v>367</v>
      </c>
      <c r="B4" s="444" t="s">
        <v>368</v>
      </c>
      <c r="C4" s="493"/>
      <c r="D4" s="485"/>
    </row>
    <row r="5" spans="1:4" s="193" customFormat="1" ht="13.5" x14ac:dyDescent="0.25">
      <c r="A5" s="359"/>
      <c r="B5" s="446"/>
      <c r="C5" s="447"/>
      <c r="D5" s="448"/>
    </row>
    <row r="6" spans="1:4" s="193" customFormat="1" ht="25.5" x14ac:dyDescent="0.25">
      <c r="A6" s="453"/>
      <c r="B6" s="454"/>
      <c r="C6" s="455" t="s">
        <v>2984</v>
      </c>
      <c r="D6" s="456"/>
    </row>
    <row r="7" spans="1:4" s="193" customFormat="1" ht="13.5" x14ac:dyDescent="0.25">
      <c r="A7" s="453"/>
      <c r="B7" s="454"/>
      <c r="C7" s="457" t="s">
        <v>2985</v>
      </c>
      <c r="D7" s="456"/>
    </row>
    <row r="8" spans="1:4" s="193" customFormat="1" ht="13.5" x14ac:dyDescent="0.25">
      <c r="A8" s="453"/>
      <c r="B8" s="454"/>
      <c r="C8" s="457"/>
      <c r="D8" s="456"/>
    </row>
    <row r="9" spans="1:4" s="193" customFormat="1" ht="13.5" x14ac:dyDescent="0.25">
      <c r="A9" s="453"/>
      <c r="B9" s="454"/>
      <c r="C9" s="457" t="s">
        <v>2986</v>
      </c>
      <c r="D9" s="456"/>
    </row>
    <row r="10" spans="1:4" s="193" customFormat="1" ht="13.5" x14ac:dyDescent="0.25">
      <c r="A10" s="453">
        <v>40301</v>
      </c>
      <c r="B10" s="454" t="s">
        <v>1595</v>
      </c>
      <c r="C10" s="455" t="s">
        <v>2987</v>
      </c>
      <c r="D10" s="458">
        <v>3.87</v>
      </c>
    </row>
    <row r="11" spans="1:4" s="193" customFormat="1" ht="25.5" x14ac:dyDescent="0.25">
      <c r="A11" s="459">
        <v>40315</v>
      </c>
      <c r="B11" s="454" t="s">
        <v>1596</v>
      </c>
      <c r="C11" s="455" t="s">
        <v>1597</v>
      </c>
      <c r="D11" s="458">
        <v>27.55</v>
      </c>
    </row>
    <row r="12" spans="1:4" s="193" customFormat="1" ht="25.5" x14ac:dyDescent="0.25">
      <c r="A12" s="453">
        <v>40405</v>
      </c>
      <c r="B12" s="454" t="s">
        <v>1591</v>
      </c>
      <c r="C12" s="455" t="s">
        <v>1598</v>
      </c>
      <c r="D12" s="458">
        <v>34.65</v>
      </c>
    </row>
    <row r="13" spans="1:4" s="193" customFormat="1" ht="13.5" x14ac:dyDescent="0.25">
      <c r="A13" s="453"/>
      <c r="B13" s="454"/>
      <c r="C13" s="455"/>
      <c r="D13" s="458"/>
    </row>
    <row r="14" spans="1:4" s="193" customFormat="1" ht="13.5" x14ac:dyDescent="0.25">
      <c r="A14" s="453"/>
      <c r="B14" s="454"/>
      <c r="C14" s="457" t="s">
        <v>2988</v>
      </c>
      <c r="D14" s="458"/>
    </row>
    <row r="15" spans="1:4" s="193" customFormat="1" ht="13.5" x14ac:dyDescent="0.25">
      <c r="A15" s="453">
        <v>40560</v>
      </c>
      <c r="B15" s="454" t="s">
        <v>1599</v>
      </c>
      <c r="C15" s="455" t="s">
        <v>1600</v>
      </c>
      <c r="D15" s="458">
        <v>38.799999999999997</v>
      </c>
    </row>
    <row r="16" spans="1:4" s="193" customFormat="1" ht="13.5" x14ac:dyDescent="0.25">
      <c r="A16" s="453">
        <v>40550</v>
      </c>
      <c r="B16" s="454" t="s">
        <v>1601</v>
      </c>
      <c r="C16" s="455" t="s">
        <v>1602</v>
      </c>
      <c r="D16" s="458">
        <v>53.2</v>
      </c>
    </row>
    <row r="17" spans="1:4" s="193" customFormat="1" ht="13.5" x14ac:dyDescent="0.25">
      <c r="A17" s="453">
        <v>40655</v>
      </c>
      <c r="B17" s="454" t="s">
        <v>1603</v>
      </c>
      <c r="C17" s="455" t="s">
        <v>2989</v>
      </c>
      <c r="D17" s="458">
        <v>211.2</v>
      </c>
    </row>
    <row r="18" spans="1:4" s="193" customFormat="1" ht="13.5" x14ac:dyDescent="0.25">
      <c r="A18" s="453">
        <v>40551</v>
      </c>
      <c r="B18" s="454" t="s">
        <v>1605</v>
      </c>
      <c r="C18" s="455" t="s">
        <v>1606</v>
      </c>
      <c r="D18" s="458">
        <v>60.7</v>
      </c>
    </row>
    <row r="19" spans="1:4" s="193" customFormat="1" ht="25.5" x14ac:dyDescent="0.25">
      <c r="A19" s="449"/>
      <c r="B19" s="450"/>
      <c r="C19" s="451" t="s">
        <v>2990</v>
      </c>
      <c r="D19" s="452"/>
    </row>
    <row r="20" spans="1:4" s="193" customFormat="1" ht="13.5" x14ac:dyDescent="0.25">
      <c r="A20" s="449"/>
      <c r="B20" s="450"/>
      <c r="C20" s="451"/>
      <c r="D20" s="452"/>
    </row>
    <row r="21" spans="1:4" s="193" customFormat="1" ht="13.5" x14ac:dyDescent="0.25">
      <c r="A21" s="453"/>
      <c r="B21" s="454"/>
      <c r="C21" s="457" t="s">
        <v>2991</v>
      </c>
      <c r="D21" s="458"/>
    </row>
    <row r="22" spans="1:4" s="193" customFormat="1" ht="13.5" x14ac:dyDescent="0.25">
      <c r="A22" s="460">
        <v>41020</v>
      </c>
      <c r="B22" s="461" t="s">
        <v>901</v>
      </c>
      <c r="C22" s="462" t="s">
        <v>1607</v>
      </c>
      <c r="D22" s="458">
        <v>6</v>
      </c>
    </row>
    <row r="23" spans="1:4" s="193" customFormat="1" ht="27.75" thickBot="1" x14ac:dyDescent="0.3">
      <c r="A23" s="463">
        <v>41010</v>
      </c>
      <c r="B23" s="464" t="s">
        <v>1608</v>
      </c>
      <c r="C23" s="465" t="s">
        <v>1609</v>
      </c>
      <c r="D23" s="466">
        <v>59.2</v>
      </c>
    </row>
    <row r="24" spans="1:4" s="193" customFormat="1" ht="13.5" x14ac:dyDescent="0.25"/>
    <row r="25" spans="1:4" s="193" customFormat="1" ht="13.5" x14ac:dyDescent="0.25"/>
    <row r="26" spans="1:4" s="193" customFormat="1" ht="13.5" x14ac:dyDescent="0.25"/>
    <row r="27" spans="1:4" s="193" customFormat="1" ht="13.5" x14ac:dyDescent="0.25"/>
    <row r="28" spans="1:4" s="193" customFormat="1" ht="13.5" x14ac:dyDescent="0.25"/>
    <row r="29" spans="1:4" s="193" customFormat="1" ht="13.5" x14ac:dyDescent="0.25"/>
    <row r="30" spans="1:4" s="193" customFormat="1" ht="13.5" x14ac:dyDescent="0.25"/>
    <row r="31" spans="1:4" s="193" customFormat="1" ht="13.5" x14ac:dyDescent="0.25"/>
    <row r="32" spans="1:4" s="193" customFormat="1" ht="13.5" x14ac:dyDescent="0.25"/>
    <row r="33" s="193" customFormat="1" ht="13.5" x14ac:dyDescent="0.25"/>
    <row r="34" s="193" customFormat="1" ht="13.5" x14ac:dyDescent="0.25"/>
    <row r="35" s="193" customFormat="1" ht="13.5" x14ac:dyDescent="0.25"/>
    <row r="36" s="193" customFormat="1" ht="13.5" x14ac:dyDescent="0.25"/>
    <row r="37" s="193" customFormat="1" ht="13.5" x14ac:dyDescent="0.25"/>
    <row r="38" s="193" customFormat="1" ht="13.5" x14ac:dyDescent="0.25"/>
    <row r="39" s="193" customFormat="1" ht="13.5" x14ac:dyDescent="0.25"/>
    <row r="40" s="193" customFormat="1" ht="13.5" x14ac:dyDescent="0.25"/>
    <row r="41" s="193" customFormat="1" ht="13.5" x14ac:dyDescent="0.25"/>
    <row r="42" s="193" customFormat="1" ht="13.5" x14ac:dyDescent="0.25"/>
    <row r="43" s="193" customFormat="1" ht="13.5" x14ac:dyDescent="0.25"/>
    <row r="44" s="193" customFormat="1" ht="13.5" x14ac:dyDescent="0.25"/>
    <row r="45" s="193" customFormat="1" ht="13.5" x14ac:dyDescent="0.25"/>
    <row r="46" s="193" customFormat="1" ht="13.5" x14ac:dyDescent="0.25"/>
    <row r="47" s="193" customFormat="1" ht="13.5" x14ac:dyDescent="0.25"/>
    <row r="48" s="193" customFormat="1" ht="13.5" x14ac:dyDescent="0.25"/>
    <row r="49" s="193" customFormat="1" ht="13.5" x14ac:dyDescent="0.25"/>
    <row r="50" s="193" customFormat="1" ht="13.5" x14ac:dyDescent="0.25"/>
    <row r="51" s="193" customFormat="1" ht="13.5" x14ac:dyDescent="0.25"/>
    <row r="52" s="193" customFormat="1" ht="13.5" x14ac:dyDescent="0.25"/>
    <row r="53" s="193" customFormat="1" ht="13.5" x14ac:dyDescent="0.25"/>
    <row r="54" s="193" customFormat="1" ht="13.5" x14ac:dyDescent="0.25"/>
    <row r="55" s="193" customFormat="1" ht="13.5" x14ac:dyDescent="0.25"/>
    <row r="56" s="193" customFormat="1" ht="13.5" x14ac:dyDescent="0.25"/>
    <row r="57" s="193" customFormat="1" ht="13.5" x14ac:dyDescent="0.25"/>
    <row r="58" s="193" customFormat="1" ht="13.5" x14ac:dyDescent="0.25"/>
    <row r="59" s="193" customFormat="1" ht="13.5" x14ac:dyDescent="0.25"/>
    <row r="60" s="193" customFormat="1" ht="13.5" x14ac:dyDescent="0.25"/>
    <row r="61" s="193" customFormat="1" ht="13.5" x14ac:dyDescent="0.25"/>
    <row r="62" s="193" customFormat="1" ht="13.5" x14ac:dyDescent="0.25"/>
    <row r="63" s="193" customFormat="1" ht="13.5" x14ac:dyDescent="0.25"/>
    <row r="64" s="193" customFormat="1" ht="13.5" x14ac:dyDescent="0.25"/>
    <row r="65" s="193" customFormat="1" ht="13.5" x14ac:dyDescent="0.25"/>
    <row r="66" s="193" customFormat="1" ht="13.5" x14ac:dyDescent="0.25"/>
    <row r="67" s="193" customFormat="1" ht="13.5" x14ac:dyDescent="0.25"/>
    <row r="68" s="193" customFormat="1" ht="13.5" x14ac:dyDescent="0.25"/>
    <row r="69" s="193" customFormat="1" ht="13.5" x14ac:dyDescent="0.25"/>
    <row r="70" s="193" customFormat="1" ht="13.5" x14ac:dyDescent="0.25"/>
    <row r="71" s="193" customFormat="1" ht="13.5" x14ac:dyDescent="0.25"/>
    <row r="72" s="193" customFormat="1" ht="13.5" x14ac:dyDescent="0.25"/>
    <row r="73" s="193" customFormat="1" ht="13.5" x14ac:dyDescent="0.25"/>
    <row r="74" s="193" customFormat="1" ht="13.5" x14ac:dyDescent="0.25"/>
    <row r="75" s="193" customFormat="1" ht="13.5" x14ac:dyDescent="0.25"/>
    <row r="76" s="193" customFormat="1" ht="13.5" x14ac:dyDescent="0.25"/>
    <row r="77" s="193" customFormat="1" ht="13.5" x14ac:dyDescent="0.25"/>
    <row r="78" s="193" customFormat="1" ht="13.5" x14ac:dyDescent="0.25"/>
    <row r="79" s="193" customFormat="1" ht="13.5" x14ac:dyDescent="0.25"/>
    <row r="80" s="193" customFormat="1" ht="13.5" x14ac:dyDescent="0.25"/>
    <row r="81" s="193" customFormat="1" ht="13.5" x14ac:dyDescent="0.25"/>
    <row r="82" s="193" customFormat="1" ht="13.5" x14ac:dyDescent="0.25"/>
    <row r="83" s="193" customFormat="1" ht="13.5" x14ac:dyDescent="0.25"/>
    <row r="84" s="193" customFormat="1" ht="13.5" x14ac:dyDescent="0.25"/>
    <row r="85" s="193" customFormat="1" ht="13.5" x14ac:dyDescent="0.25"/>
    <row r="86" s="193" customFormat="1" ht="13.5" x14ac:dyDescent="0.25"/>
    <row r="87" s="193" customFormat="1" ht="13.5" x14ac:dyDescent="0.25"/>
    <row r="88" s="193" customFormat="1" ht="13.5" x14ac:dyDescent="0.25"/>
    <row r="89" s="193" customFormat="1" ht="13.5" x14ac:dyDescent="0.25"/>
    <row r="90" s="193" customFormat="1" ht="13.5" x14ac:dyDescent="0.25"/>
    <row r="91" s="193" customFormat="1" ht="13.5" x14ac:dyDescent="0.25"/>
    <row r="92" s="193" customFormat="1" ht="13.5" x14ac:dyDescent="0.25"/>
    <row r="93" s="193" customFormat="1" ht="13.5" x14ac:dyDescent="0.25"/>
    <row r="94" s="193" customFormat="1" ht="13.5" x14ac:dyDescent="0.25"/>
    <row r="95" s="193" customFormat="1" ht="13.5" x14ac:dyDescent="0.25"/>
    <row r="96" s="193" customFormat="1" ht="13.5" x14ac:dyDescent="0.25"/>
    <row r="97" s="193" customFormat="1" ht="13.5" x14ac:dyDescent="0.25"/>
    <row r="98" s="193" customFormat="1" ht="13.5" x14ac:dyDescent="0.25"/>
    <row r="99" s="193" customFormat="1" ht="13.5" x14ac:dyDescent="0.25"/>
    <row r="100" s="193" customFormat="1" ht="13.5" x14ac:dyDescent="0.25"/>
    <row r="101" s="193" customFormat="1" ht="13.5" x14ac:dyDescent="0.25"/>
    <row r="102" s="193" customFormat="1" ht="13.5" x14ac:dyDescent="0.25"/>
    <row r="103" s="193" customFormat="1" ht="13.5" x14ac:dyDescent="0.25"/>
    <row r="104" s="193" customFormat="1" ht="13.5" x14ac:dyDescent="0.25"/>
    <row r="105" s="193" customFormat="1" ht="13.5" x14ac:dyDescent="0.25"/>
    <row r="106" s="193" customFormat="1" ht="13.5" x14ac:dyDescent="0.25"/>
    <row r="107" s="193" customFormat="1" ht="13.5" x14ac:dyDescent="0.25"/>
    <row r="108" s="193" customFormat="1" ht="13.5" x14ac:dyDescent="0.25"/>
    <row r="109" s="193" customFormat="1" ht="13.5" x14ac:dyDescent="0.25"/>
    <row r="110" s="193" customFormat="1" ht="13.5" x14ac:dyDescent="0.25"/>
    <row r="111" s="193" customFormat="1" ht="13.5" x14ac:dyDescent="0.25"/>
    <row r="112" s="193" customFormat="1" ht="13.5" x14ac:dyDescent="0.25"/>
    <row r="113" s="193" customFormat="1" ht="13.5" x14ac:dyDescent="0.25"/>
    <row r="114" s="193" customFormat="1" ht="13.5" x14ac:dyDescent="0.25"/>
    <row r="115" s="193" customFormat="1" ht="13.5" x14ac:dyDescent="0.25"/>
    <row r="116" s="193" customFormat="1" ht="13.5" x14ac:dyDescent="0.25"/>
    <row r="117" s="193" customFormat="1" ht="13.5" x14ac:dyDescent="0.25"/>
    <row r="118" s="193" customFormat="1" ht="13.5" x14ac:dyDescent="0.25"/>
    <row r="119" s="193" customFormat="1" ht="13.5" x14ac:dyDescent="0.25"/>
    <row r="120" s="193" customFormat="1" ht="13.5" x14ac:dyDescent="0.25"/>
    <row r="121" s="193" customFormat="1" ht="13.5" x14ac:dyDescent="0.25"/>
    <row r="122" s="193" customFormat="1" ht="13.5" x14ac:dyDescent="0.25"/>
    <row r="123" s="193" customFormat="1" ht="13.5" x14ac:dyDescent="0.25"/>
    <row r="124" s="193" customFormat="1" ht="13.5" x14ac:dyDescent="0.25"/>
    <row r="125" s="193" customFormat="1" ht="13.5" x14ac:dyDescent="0.25"/>
    <row r="126" s="193" customFormat="1" ht="13.5" x14ac:dyDescent="0.25"/>
    <row r="127" s="193" customFormat="1" ht="13.5" x14ac:dyDescent="0.25"/>
    <row r="128" s="193" customFormat="1" ht="13.5" x14ac:dyDescent="0.25"/>
    <row r="129" s="193" customFormat="1" ht="13.5" x14ac:dyDescent="0.25"/>
    <row r="130" s="193" customFormat="1" ht="13.5" x14ac:dyDescent="0.25"/>
    <row r="131" s="193" customFormat="1" ht="13.5" x14ac:dyDescent="0.25"/>
    <row r="132" s="193" customFormat="1" ht="13.5" x14ac:dyDescent="0.25"/>
    <row r="133" s="193" customFormat="1" ht="13.5" x14ac:dyDescent="0.25"/>
    <row r="134" s="193" customFormat="1" ht="13.5" x14ac:dyDescent="0.25"/>
    <row r="135" s="193" customFormat="1" ht="13.5" x14ac:dyDescent="0.25"/>
    <row r="136" s="193" customFormat="1" ht="13.5" x14ac:dyDescent="0.25"/>
    <row r="137" s="193" customFormat="1" ht="13.5" x14ac:dyDescent="0.25"/>
    <row r="138" s="193" customFormat="1" ht="13.5" x14ac:dyDescent="0.25"/>
    <row r="139" s="193" customFormat="1" ht="13.5" x14ac:dyDescent="0.25"/>
    <row r="140" s="193" customFormat="1" ht="13.5" x14ac:dyDescent="0.25"/>
    <row r="141" s="193" customFormat="1" ht="13.5" x14ac:dyDescent="0.25"/>
    <row r="142" s="193" customFormat="1" ht="13.5" x14ac:dyDescent="0.25"/>
    <row r="143" s="193" customFormat="1" ht="13.5" x14ac:dyDescent="0.25"/>
    <row r="144" s="193" customFormat="1" ht="13.5" x14ac:dyDescent="0.25"/>
    <row r="145" s="193" customFormat="1" ht="13.5" x14ac:dyDescent="0.25"/>
    <row r="146" s="193" customFormat="1" ht="13.5" x14ac:dyDescent="0.25"/>
    <row r="147" s="193" customFormat="1" ht="13.5" x14ac:dyDescent="0.25"/>
    <row r="148" s="193" customFormat="1" ht="13.5" x14ac:dyDescent="0.25"/>
    <row r="149" s="193" customFormat="1" ht="13.5" x14ac:dyDescent="0.25"/>
    <row r="150" s="193" customFormat="1" ht="13.5" x14ac:dyDescent="0.25"/>
    <row r="151" s="193" customFormat="1" ht="13.5" x14ac:dyDescent="0.25"/>
    <row r="152" s="193" customFormat="1" ht="13.5" x14ac:dyDescent="0.25"/>
    <row r="153" s="193" customFormat="1" ht="13.5" x14ac:dyDescent="0.25"/>
    <row r="154" s="193" customFormat="1" ht="13.5" x14ac:dyDescent="0.25"/>
    <row r="155" s="193" customFormat="1" ht="13.5" x14ac:dyDescent="0.25"/>
    <row r="156" s="193" customFormat="1" ht="13.5" x14ac:dyDescent="0.25"/>
    <row r="157" s="193" customFormat="1" ht="13.5" x14ac:dyDescent="0.25"/>
    <row r="158" s="193" customFormat="1" ht="13.5" x14ac:dyDescent="0.25"/>
    <row r="159" s="193" customFormat="1" ht="13.5" x14ac:dyDescent="0.25"/>
    <row r="160" s="193" customFormat="1" ht="13.5" x14ac:dyDescent="0.25"/>
    <row r="161" s="193" customFormat="1" ht="13.5" x14ac:dyDescent="0.25"/>
    <row r="162" s="193" customFormat="1" ht="13.5" x14ac:dyDescent="0.25"/>
    <row r="163" s="193" customFormat="1" ht="13.5" x14ac:dyDescent="0.25"/>
    <row r="164" s="193" customFormat="1" ht="13.5" x14ac:dyDescent="0.25"/>
    <row r="165" s="193" customFormat="1" ht="13.5" x14ac:dyDescent="0.25"/>
    <row r="166" s="193" customFormat="1" ht="13.5" x14ac:dyDescent="0.25"/>
    <row r="167" s="193" customFormat="1" ht="13.5" x14ac:dyDescent="0.25"/>
    <row r="168" s="193" customFormat="1" ht="13.5" x14ac:dyDescent="0.25"/>
    <row r="169" s="193" customFormat="1" ht="13.5" x14ac:dyDescent="0.25"/>
    <row r="170" s="193" customFormat="1" ht="13.5" x14ac:dyDescent="0.25"/>
    <row r="171" s="193" customFormat="1" ht="13.5" x14ac:dyDescent="0.25"/>
    <row r="172" s="193" customFormat="1" ht="13.5" x14ac:dyDescent="0.25"/>
    <row r="173" s="193" customFormat="1" ht="13.5" x14ac:dyDescent="0.25"/>
    <row r="174" s="193" customFormat="1" ht="13.5" x14ac:dyDescent="0.25"/>
    <row r="175" s="193" customFormat="1" ht="13.5" x14ac:dyDescent="0.25"/>
    <row r="176" s="193" customFormat="1" ht="13.5" x14ac:dyDescent="0.25"/>
    <row r="177" s="193" customFormat="1" ht="13.5" x14ac:dyDescent="0.25"/>
    <row r="178" s="193" customFormat="1" ht="13.5" x14ac:dyDescent="0.25"/>
    <row r="179" s="193" customFormat="1" ht="13.5" x14ac:dyDescent="0.25"/>
    <row r="180" s="193" customFormat="1" ht="13.5" x14ac:dyDescent="0.25"/>
    <row r="181" s="193" customFormat="1" ht="13.5" x14ac:dyDescent="0.25"/>
    <row r="182" s="193" customFormat="1" ht="13.5" x14ac:dyDescent="0.25"/>
    <row r="183" s="193" customFormat="1" ht="13.5" x14ac:dyDescent="0.25"/>
    <row r="184" s="193" customFormat="1" ht="13.5" x14ac:dyDescent="0.25"/>
    <row r="185" s="193" customFormat="1" ht="13.5" x14ac:dyDescent="0.25"/>
    <row r="186" s="193" customFormat="1" ht="13.5" x14ac:dyDescent="0.25"/>
    <row r="187" s="193" customFormat="1" ht="13.5" x14ac:dyDescent="0.25"/>
    <row r="188" s="193" customFormat="1" ht="13.5" x14ac:dyDescent="0.25"/>
    <row r="189" s="193" customFormat="1" ht="13.5" x14ac:dyDescent="0.25"/>
    <row r="190" s="193" customFormat="1" ht="13.5" x14ac:dyDescent="0.25"/>
    <row r="191" s="193" customFormat="1" ht="13.5" x14ac:dyDescent="0.25"/>
    <row r="192" s="193" customFormat="1" ht="13.5" x14ac:dyDescent="0.25"/>
    <row r="193" s="193" customFormat="1" ht="13.5" x14ac:dyDescent="0.25"/>
    <row r="194" s="193" customFormat="1" ht="13.5" x14ac:dyDescent="0.25"/>
    <row r="195" s="193" customFormat="1" ht="13.5" x14ac:dyDescent="0.25"/>
    <row r="196" s="193" customFormat="1" ht="13.5" x14ac:dyDescent="0.25"/>
    <row r="197" s="193" customFormat="1" ht="13.5" x14ac:dyDescent="0.25"/>
    <row r="198" s="193" customFormat="1" ht="13.5" x14ac:dyDescent="0.25"/>
    <row r="199" s="193" customFormat="1" ht="13.5" x14ac:dyDescent="0.25"/>
    <row r="200" s="193" customFormat="1" ht="13.5" x14ac:dyDescent="0.25"/>
    <row r="201" s="193" customFormat="1" ht="13.5" x14ac:dyDescent="0.25"/>
    <row r="202" s="193" customFormat="1" ht="13.5" x14ac:dyDescent="0.25"/>
    <row r="203" s="193" customFormat="1" ht="13.5" x14ac:dyDescent="0.25"/>
    <row r="204" s="193" customFormat="1" ht="13.5" x14ac:dyDescent="0.25"/>
    <row r="205" s="193" customFormat="1" ht="13.5" x14ac:dyDescent="0.25"/>
    <row r="206" s="193" customFormat="1" ht="13.5" x14ac:dyDescent="0.25"/>
    <row r="207" s="193" customFormat="1" ht="13.5" x14ac:dyDescent="0.25"/>
    <row r="208" s="193" customFormat="1" ht="13.5" x14ac:dyDescent="0.25"/>
    <row r="209" s="193" customFormat="1" ht="13.5" x14ac:dyDescent="0.25"/>
    <row r="210" s="193" customFormat="1" ht="13.5" x14ac:dyDescent="0.25"/>
    <row r="211" s="193" customFormat="1" ht="13.5" x14ac:dyDescent="0.25"/>
    <row r="212" s="193" customFormat="1" ht="13.5" x14ac:dyDescent="0.25"/>
    <row r="213" s="193" customFormat="1" ht="13.5" x14ac:dyDescent="0.25"/>
    <row r="214" s="193" customFormat="1" ht="13.5" x14ac:dyDescent="0.25"/>
    <row r="215" s="193" customFormat="1" ht="13.5" x14ac:dyDescent="0.25"/>
    <row r="216" s="193" customFormat="1" ht="13.5" x14ac:dyDescent="0.25"/>
    <row r="217" s="193" customFormat="1" ht="13.5" x14ac:dyDescent="0.25"/>
    <row r="218" s="193" customFormat="1" ht="13.5" x14ac:dyDescent="0.25"/>
    <row r="219" s="193" customFormat="1" ht="13.5" x14ac:dyDescent="0.25"/>
    <row r="220" s="193" customFormat="1" ht="13.5" x14ac:dyDescent="0.25"/>
    <row r="221" s="193" customFormat="1" ht="13.5" x14ac:dyDescent="0.25"/>
    <row r="222" s="193" customFormat="1" ht="13.5" x14ac:dyDescent="0.25"/>
    <row r="223" s="193" customFormat="1" ht="13.5" x14ac:dyDescent="0.25"/>
    <row r="224" s="193" customFormat="1" ht="13.5" x14ac:dyDescent="0.25"/>
    <row r="225" s="193" customFormat="1" ht="13.5" x14ac:dyDescent="0.25"/>
    <row r="226" s="193" customFormat="1" ht="13.5" x14ac:dyDescent="0.25"/>
    <row r="227" s="193" customFormat="1" ht="13.5" x14ac:dyDescent="0.25"/>
    <row r="228" s="193" customFormat="1" ht="13.5" x14ac:dyDescent="0.25"/>
    <row r="229" s="193" customFormat="1" ht="13.5" x14ac:dyDescent="0.25"/>
    <row r="230" s="193" customFormat="1" ht="13.5" x14ac:dyDescent="0.25"/>
    <row r="231" s="193" customFormat="1" ht="13.5" x14ac:dyDescent="0.25"/>
    <row r="232" s="193" customFormat="1" ht="13.5" x14ac:dyDescent="0.25"/>
    <row r="233" s="193" customFormat="1" ht="13.5" x14ac:dyDescent="0.25"/>
    <row r="234" s="193" customFormat="1" ht="13.5" x14ac:dyDescent="0.25"/>
    <row r="235" s="193" customFormat="1" ht="13.5" x14ac:dyDescent="0.25"/>
    <row r="236" s="193" customFormat="1" ht="13.5" x14ac:dyDescent="0.25"/>
    <row r="237" s="193" customFormat="1" ht="13.5" x14ac:dyDescent="0.25"/>
    <row r="238" s="193" customFormat="1" ht="13.5" x14ac:dyDescent="0.25"/>
    <row r="239" s="193" customFormat="1" ht="13.5" x14ac:dyDescent="0.25"/>
    <row r="240" s="193" customFormat="1" ht="13.5" x14ac:dyDescent="0.25"/>
    <row r="241" s="193" customFormat="1" ht="13.5" x14ac:dyDescent="0.25"/>
    <row r="242" s="193" customFormat="1" ht="13.5" x14ac:dyDescent="0.25"/>
    <row r="243" s="193" customFormat="1" ht="13.5" x14ac:dyDescent="0.25"/>
    <row r="244" s="193" customFormat="1" ht="13.5" x14ac:dyDescent="0.25"/>
    <row r="245" s="193" customFormat="1" ht="13.5" x14ac:dyDescent="0.25"/>
    <row r="246" s="193" customFormat="1" ht="13.5" x14ac:dyDescent="0.25"/>
    <row r="247" s="193" customFormat="1" ht="13.5" x14ac:dyDescent="0.25"/>
    <row r="248" s="193" customFormat="1" ht="13.5" x14ac:dyDescent="0.25"/>
    <row r="249" s="193" customFormat="1" ht="13.5" x14ac:dyDescent="0.25"/>
    <row r="250" s="193" customFormat="1" ht="13.5" x14ac:dyDescent="0.25"/>
    <row r="251" s="193" customFormat="1" ht="13.5" x14ac:dyDescent="0.25"/>
    <row r="252" s="193" customFormat="1" ht="13.5" x14ac:dyDescent="0.25"/>
    <row r="253" s="193" customFormat="1" ht="13.5" x14ac:dyDescent="0.25"/>
    <row r="254" s="193" customFormat="1" ht="13.5" x14ac:dyDescent="0.25"/>
    <row r="255" s="193" customFormat="1" ht="13.5" x14ac:dyDescent="0.25"/>
    <row r="256" s="193" customFormat="1" ht="13.5" x14ac:dyDescent="0.25"/>
    <row r="257" s="193" customFormat="1" ht="13.5" x14ac:dyDescent="0.25"/>
    <row r="258" s="193" customFormat="1" ht="13.5" x14ac:dyDescent="0.25"/>
    <row r="259" s="193" customFormat="1" ht="13.5" x14ac:dyDescent="0.25"/>
    <row r="260" s="193" customFormat="1" ht="13.5" x14ac:dyDescent="0.25"/>
    <row r="261" s="193" customFormat="1" ht="13.5" x14ac:dyDescent="0.25"/>
    <row r="262" s="193" customFormat="1" ht="13.5" x14ac:dyDescent="0.25"/>
    <row r="263" s="193" customFormat="1" ht="13.5" x14ac:dyDescent="0.25"/>
    <row r="264" s="193" customFormat="1" ht="13.5" x14ac:dyDescent="0.25"/>
    <row r="265" s="193" customFormat="1" ht="13.5" x14ac:dyDescent="0.25"/>
    <row r="266" s="193" customFormat="1" ht="13.5" x14ac:dyDescent="0.25"/>
    <row r="267" s="193" customFormat="1" ht="13.5" x14ac:dyDescent="0.25"/>
    <row r="268" s="193" customFormat="1" ht="13.5" x14ac:dyDescent="0.25"/>
    <row r="269" s="193" customFormat="1" ht="13.5" x14ac:dyDescent="0.25"/>
    <row r="270" s="193" customFormat="1" ht="13.5" x14ac:dyDescent="0.25"/>
    <row r="271" s="193" customFormat="1" ht="13.5" x14ac:dyDescent="0.25"/>
    <row r="272" s="193" customFormat="1" ht="13.5" x14ac:dyDescent="0.25"/>
    <row r="273" s="193" customFormat="1" ht="13.5" x14ac:dyDescent="0.25"/>
    <row r="274" s="193" customFormat="1" ht="13.5" x14ac:dyDescent="0.25"/>
    <row r="275" s="193" customFormat="1" ht="13.5" x14ac:dyDescent="0.25"/>
    <row r="276" s="193" customFormat="1" ht="13.5" x14ac:dyDescent="0.25"/>
    <row r="277" s="193" customFormat="1" ht="13.5" x14ac:dyDescent="0.25"/>
    <row r="278" s="193" customFormat="1" ht="13.5" x14ac:dyDescent="0.25"/>
    <row r="279" s="193" customFormat="1" ht="13.5" x14ac:dyDescent="0.25"/>
    <row r="280" s="193" customFormat="1" ht="13.5" x14ac:dyDescent="0.25"/>
    <row r="281" s="193" customFormat="1" ht="13.5" x14ac:dyDescent="0.25"/>
    <row r="282" s="193" customFormat="1" ht="13.5" x14ac:dyDescent="0.25"/>
    <row r="283" s="193" customFormat="1" ht="13.5" x14ac:dyDescent="0.25"/>
    <row r="284" s="193" customFormat="1" ht="13.5" x14ac:dyDescent="0.25"/>
    <row r="285" s="193" customFormat="1" ht="13.5" x14ac:dyDescent="0.25"/>
    <row r="286" s="193" customFormat="1" ht="13.5" x14ac:dyDescent="0.25"/>
    <row r="287" s="193" customFormat="1" ht="13.5" x14ac:dyDescent="0.25"/>
    <row r="288" s="193" customFormat="1" ht="13.5" x14ac:dyDescent="0.25"/>
    <row r="289" s="193" customFormat="1" ht="13.5" x14ac:dyDescent="0.25"/>
    <row r="290" s="193" customFormat="1" ht="13.5" x14ac:dyDescent="0.25"/>
    <row r="291" s="193" customFormat="1" ht="13.5" x14ac:dyDescent="0.25"/>
    <row r="292" s="193" customFormat="1" ht="13.5" x14ac:dyDescent="0.25"/>
    <row r="293" s="193" customFormat="1" ht="13.5" x14ac:dyDescent="0.25"/>
    <row r="294" s="193" customFormat="1" ht="13.5" x14ac:dyDescent="0.25"/>
    <row r="295" s="193" customFormat="1" ht="13.5" x14ac:dyDescent="0.25"/>
    <row r="296" s="193" customFormat="1" ht="13.5" x14ac:dyDescent="0.25"/>
    <row r="297" s="193" customFormat="1" ht="13.5" x14ac:dyDescent="0.25"/>
    <row r="298" s="193" customFormat="1" ht="13.5" x14ac:dyDescent="0.25"/>
    <row r="299" s="193" customFormat="1" ht="13.5" x14ac:dyDescent="0.25"/>
    <row r="300" s="193" customFormat="1" ht="13.5" x14ac:dyDescent="0.25"/>
    <row r="301" s="193" customFormat="1" ht="13.5" x14ac:dyDescent="0.25"/>
    <row r="302" s="193" customFormat="1" ht="13.5" x14ac:dyDescent="0.25"/>
    <row r="303" s="193" customFormat="1" ht="13.5" x14ac:dyDescent="0.25"/>
    <row r="304" s="193" customFormat="1" ht="13.5" x14ac:dyDescent="0.25"/>
    <row r="305" s="193" customFormat="1" ht="13.5" x14ac:dyDescent="0.25"/>
    <row r="306" s="193" customFormat="1" ht="13.5" x14ac:dyDescent="0.25"/>
    <row r="307" s="193" customFormat="1" ht="13.5" x14ac:dyDescent="0.25"/>
    <row r="308" s="193" customFormat="1" ht="13.5" x14ac:dyDescent="0.25"/>
    <row r="309" s="193" customFormat="1" ht="13.5" x14ac:dyDescent="0.25"/>
    <row r="310" s="193" customFormat="1" ht="13.5" x14ac:dyDescent="0.25"/>
    <row r="311" s="193" customFormat="1" ht="13.5" x14ac:dyDescent="0.25"/>
    <row r="312" s="193" customFormat="1" ht="13.5" x14ac:dyDescent="0.25"/>
    <row r="313" s="193" customFormat="1" ht="13.5" x14ac:dyDescent="0.25"/>
    <row r="314" s="193" customFormat="1" ht="13.5" x14ac:dyDescent="0.25"/>
    <row r="315" s="193" customFormat="1" ht="13.5" x14ac:dyDescent="0.25"/>
    <row r="316" s="193" customFormat="1" ht="13.5" x14ac:dyDescent="0.25"/>
    <row r="317" s="193" customFormat="1" ht="13.5" x14ac:dyDescent="0.25"/>
    <row r="318" s="193" customFormat="1" ht="13.5" x14ac:dyDescent="0.25"/>
    <row r="319" s="193" customFormat="1" ht="13.5" x14ac:dyDescent="0.25"/>
  </sheetData>
  <mergeCells count="4">
    <mergeCell ref="A3:B3"/>
    <mergeCell ref="C3:C4"/>
    <mergeCell ref="D3:D4"/>
    <mergeCell ref="A1:D1"/>
  </mergeCells>
  <conditionalFormatting sqref="C3:C4 C10:C12 C15:C19 C23">
    <cfRule type="cellIs" dxfId="3" priority="1" stopIfTrue="1" operator="equal">
      <formula>#REF!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AF0B5-C936-475E-BD01-57F89C1F7EBA}">
  <dimension ref="A1:D320"/>
  <sheetViews>
    <sheetView showGridLines="0" showRowColHeaders="0" topLeftCell="A12" workbookViewId="0">
      <selection activeCell="C29" sqref="C29"/>
    </sheetView>
  </sheetViews>
  <sheetFormatPr defaultColWidth="8.7109375" defaultRowHeight="12.75" x14ac:dyDescent="0.2"/>
  <cols>
    <col min="1" max="2" width="6.42578125" style="191" customWidth="1"/>
    <col min="3" max="3" width="55.42578125" style="191" customWidth="1"/>
    <col min="4" max="4" width="7.28515625" style="191" customWidth="1"/>
    <col min="5" max="16384" width="8.7109375" style="191"/>
  </cols>
  <sheetData>
    <row r="1" spans="1:4" ht="38.1" customHeight="1" x14ac:dyDescent="0.2">
      <c r="A1" s="489" t="s">
        <v>1610</v>
      </c>
      <c r="B1" s="489"/>
      <c r="C1" s="489"/>
      <c r="D1" s="489"/>
    </row>
    <row r="2" spans="1:4" s="193" customFormat="1" ht="13.5" x14ac:dyDescent="0.25"/>
    <row r="3" spans="1:4" s="193" customFormat="1" ht="23.1" customHeight="1" x14ac:dyDescent="0.25">
      <c r="A3" s="486" t="s">
        <v>363</v>
      </c>
      <c r="B3" s="486"/>
      <c r="C3" s="495" t="s">
        <v>1448</v>
      </c>
      <c r="D3" s="497" t="s">
        <v>1449</v>
      </c>
    </row>
    <row r="4" spans="1:4" s="193" customFormat="1" ht="13.5" x14ac:dyDescent="0.25">
      <c r="A4" s="221" t="s">
        <v>367</v>
      </c>
      <c r="B4" s="221" t="s">
        <v>368</v>
      </c>
      <c r="C4" s="496"/>
      <c r="D4" s="498"/>
    </row>
    <row r="5" spans="1:4" s="193" customFormat="1" ht="13.5" x14ac:dyDescent="0.25">
      <c r="A5" s="215"/>
      <c r="B5" s="215"/>
      <c r="C5" s="216" t="s">
        <v>1611</v>
      </c>
      <c r="D5" s="215"/>
    </row>
    <row r="6" spans="1:4" s="193" customFormat="1" ht="13.5" x14ac:dyDescent="0.25">
      <c r="A6" s="215"/>
      <c r="B6" s="215"/>
      <c r="C6" s="216" t="s">
        <v>1612</v>
      </c>
      <c r="D6" s="215"/>
    </row>
    <row r="7" spans="1:4" s="193" customFormat="1" ht="13.5" x14ac:dyDescent="0.25">
      <c r="A7" s="217">
        <v>58015</v>
      </c>
      <c r="B7" s="217" t="s">
        <v>1613</v>
      </c>
      <c r="C7" s="218" t="s">
        <v>1614</v>
      </c>
      <c r="D7" s="227">
        <v>179.85</v>
      </c>
    </row>
    <row r="8" spans="1:4" s="193" customFormat="1" ht="13.5" x14ac:dyDescent="0.25">
      <c r="A8" s="217">
        <v>58020</v>
      </c>
      <c r="B8" s="217" t="s">
        <v>1615</v>
      </c>
      <c r="C8" s="218" t="s">
        <v>1616</v>
      </c>
      <c r="D8" s="227">
        <v>123.44</v>
      </c>
    </row>
    <row r="9" spans="1:4" s="193" customFormat="1" ht="13.5" x14ac:dyDescent="0.25">
      <c r="A9" s="215"/>
      <c r="B9" s="215"/>
      <c r="C9" s="216" t="s">
        <v>1617</v>
      </c>
      <c r="D9" s="232"/>
    </row>
    <row r="10" spans="1:4" s="193" customFormat="1" ht="13.5" x14ac:dyDescent="0.25">
      <c r="A10" s="217">
        <v>58050</v>
      </c>
      <c r="B10" s="217" t="s">
        <v>1618</v>
      </c>
      <c r="C10" s="218" t="s">
        <v>1619</v>
      </c>
      <c r="D10" s="227">
        <v>209.99</v>
      </c>
    </row>
    <row r="11" spans="1:4" s="193" customFormat="1" ht="13.5" x14ac:dyDescent="0.25">
      <c r="A11" s="215"/>
      <c r="B11" s="215"/>
      <c r="C11" s="216" t="s">
        <v>1620</v>
      </c>
      <c r="D11" s="232"/>
    </row>
    <row r="12" spans="1:4" s="193" customFormat="1" ht="13.5" x14ac:dyDescent="0.25">
      <c r="A12" s="217">
        <v>58100</v>
      </c>
      <c r="B12" s="217" t="s">
        <v>901</v>
      </c>
      <c r="C12" s="218" t="s">
        <v>156</v>
      </c>
      <c r="D12" s="227">
        <v>85.19</v>
      </c>
    </row>
    <row r="13" spans="1:4" s="193" customFormat="1" ht="13.5" x14ac:dyDescent="0.25">
      <c r="A13" s="217">
        <v>58105</v>
      </c>
      <c r="B13" s="217" t="s">
        <v>1586</v>
      </c>
      <c r="C13" s="218" t="s">
        <v>1621</v>
      </c>
      <c r="D13" s="227">
        <v>50.08</v>
      </c>
    </row>
    <row r="14" spans="1:4" s="193" customFormat="1" ht="13.5" x14ac:dyDescent="0.25">
      <c r="A14" s="217">
        <v>58115</v>
      </c>
      <c r="B14" s="217" t="s">
        <v>1591</v>
      </c>
      <c r="C14" s="218" t="s">
        <v>1622</v>
      </c>
      <c r="D14" s="227">
        <v>70.739999999999995</v>
      </c>
    </row>
    <row r="15" spans="1:4" s="193" customFormat="1" ht="13.5" x14ac:dyDescent="0.25">
      <c r="A15" s="217">
        <v>58120</v>
      </c>
      <c r="B15" s="217" t="s">
        <v>1589</v>
      </c>
      <c r="C15" s="218" t="s">
        <v>1623</v>
      </c>
      <c r="D15" s="227">
        <v>118.11</v>
      </c>
    </row>
    <row r="16" spans="1:4" s="193" customFormat="1" ht="13.5" x14ac:dyDescent="0.25">
      <c r="A16" s="217">
        <v>58125</v>
      </c>
      <c r="B16" s="217" t="s">
        <v>1624</v>
      </c>
      <c r="C16" s="218" t="s">
        <v>1625</v>
      </c>
      <c r="D16" s="227">
        <v>80.48</v>
      </c>
    </row>
    <row r="17" spans="1:4" s="193" customFormat="1" ht="13.5" x14ac:dyDescent="0.25">
      <c r="A17" s="217">
        <v>58130</v>
      </c>
      <c r="B17" s="217" t="s">
        <v>1626</v>
      </c>
      <c r="C17" s="218" t="s">
        <v>155</v>
      </c>
      <c r="D17" s="227">
        <v>42.3</v>
      </c>
    </row>
    <row r="18" spans="1:4" s="193" customFormat="1" ht="13.5" x14ac:dyDescent="0.25">
      <c r="A18" s="215"/>
      <c r="B18" s="215"/>
      <c r="C18" s="216" t="s">
        <v>1627</v>
      </c>
      <c r="D18" s="232"/>
    </row>
    <row r="19" spans="1:4" s="193" customFormat="1" ht="13.5" x14ac:dyDescent="0.25">
      <c r="A19" s="217">
        <v>58150</v>
      </c>
      <c r="B19" s="217" t="s">
        <v>1570</v>
      </c>
      <c r="C19" s="218" t="s">
        <v>1628</v>
      </c>
      <c r="D19" s="227">
        <v>76.47</v>
      </c>
    </row>
    <row r="20" spans="1:4" s="193" customFormat="1" ht="13.5" x14ac:dyDescent="0.25">
      <c r="A20" s="215"/>
      <c r="B20" s="215"/>
      <c r="C20" s="218" t="s">
        <v>1629</v>
      </c>
      <c r="D20" s="227">
        <v>21.51</v>
      </c>
    </row>
    <row r="21" spans="1:4" s="193" customFormat="1" ht="13.5" x14ac:dyDescent="0.25">
      <c r="A21" s="215"/>
      <c r="B21" s="215"/>
      <c r="C21" s="218" t="s">
        <v>1630</v>
      </c>
      <c r="D21" s="227">
        <v>19.170000000000002</v>
      </c>
    </row>
    <row r="22" spans="1:4" s="193" customFormat="1" ht="13.5" x14ac:dyDescent="0.25">
      <c r="A22" s="215"/>
      <c r="B22" s="215"/>
      <c r="C22" s="218" t="s">
        <v>1631</v>
      </c>
      <c r="D22" s="227">
        <v>19.170000000000002</v>
      </c>
    </row>
    <row r="23" spans="1:4" s="193" customFormat="1" ht="13.5" x14ac:dyDescent="0.25">
      <c r="A23" s="215"/>
      <c r="B23" s="215"/>
      <c r="C23" s="218" t="s">
        <v>1632</v>
      </c>
      <c r="D23" s="227">
        <v>23.22</v>
      </c>
    </row>
    <row r="24" spans="1:4" s="193" customFormat="1" ht="13.5" x14ac:dyDescent="0.25">
      <c r="A24" s="215"/>
      <c r="B24" s="215"/>
      <c r="C24" s="216" t="s">
        <v>1633</v>
      </c>
      <c r="D24" s="232"/>
    </row>
    <row r="25" spans="1:4" s="193" customFormat="1" ht="13.5" x14ac:dyDescent="0.25">
      <c r="A25" s="217">
        <v>58200</v>
      </c>
      <c r="B25" s="217" t="s">
        <v>1044</v>
      </c>
      <c r="C25" s="218" t="s">
        <v>1634</v>
      </c>
      <c r="D25" s="227">
        <v>56.12</v>
      </c>
    </row>
    <row r="26" spans="1:4" s="193" customFormat="1" ht="13.5" x14ac:dyDescent="0.25">
      <c r="A26" s="217">
        <v>58205</v>
      </c>
      <c r="B26" s="217" t="s">
        <v>1454</v>
      </c>
      <c r="C26" s="218" t="s">
        <v>1635</v>
      </c>
      <c r="D26" s="227" t="s">
        <v>1456</v>
      </c>
    </row>
    <row r="27" spans="1:4" s="193" customFormat="1" ht="13.5" x14ac:dyDescent="0.25">
      <c r="A27" s="215"/>
      <c r="B27" s="215"/>
      <c r="C27" s="216" t="s">
        <v>1636</v>
      </c>
      <c r="D27" s="232"/>
    </row>
    <row r="28" spans="1:4" s="193" customFormat="1" ht="13.5" x14ac:dyDescent="0.25">
      <c r="A28" s="217">
        <v>58260</v>
      </c>
      <c r="B28" s="217" t="s">
        <v>1575</v>
      </c>
      <c r="C28" s="218" t="s">
        <v>1637</v>
      </c>
      <c r="D28" s="227">
        <v>32.840000000000003</v>
      </c>
    </row>
    <row r="29" spans="1:4" s="193" customFormat="1" ht="13.5" x14ac:dyDescent="0.25">
      <c r="A29" s="215"/>
      <c r="B29" s="215"/>
      <c r="C29" s="216" t="s">
        <v>1638</v>
      </c>
      <c r="D29" s="232"/>
    </row>
    <row r="30" spans="1:4" s="193" customFormat="1" ht="13.5" x14ac:dyDescent="0.25">
      <c r="A30" s="217">
        <v>58305</v>
      </c>
      <c r="B30" s="217" t="s">
        <v>1417</v>
      </c>
      <c r="C30" s="218" t="s">
        <v>157</v>
      </c>
      <c r="D30" s="227">
        <v>53.1</v>
      </c>
    </row>
    <row r="31" spans="1:4" s="193" customFormat="1" ht="13.5" x14ac:dyDescent="0.25">
      <c r="A31" s="217">
        <v>58319</v>
      </c>
      <c r="B31" s="217" t="s">
        <v>1639</v>
      </c>
      <c r="C31" s="218" t="s">
        <v>1640</v>
      </c>
      <c r="D31" s="227">
        <v>7.56</v>
      </c>
    </row>
    <row r="32" spans="1:4" s="193" customFormat="1" ht="13.5" x14ac:dyDescent="0.25">
      <c r="A32" s="217">
        <v>58324</v>
      </c>
      <c r="B32" s="217" t="s">
        <v>1641</v>
      </c>
      <c r="C32" s="218" t="s">
        <v>1642</v>
      </c>
      <c r="D32" s="227">
        <v>28.77</v>
      </c>
    </row>
    <row r="33" spans="1:4" s="193" customFormat="1" ht="13.5" x14ac:dyDescent="0.25">
      <c r="A33" s="219">
        <v>58330</v>
      </c>
      <c r="B33" s="219" t="s">
        <v>1454</v>
      </c>
      <c r="C33" s="220" t="s">
        <v>1643</v>
      </c>
      <c r="D33" s="229" t="s">
        <v>1456</v>
      </c>
    </row>
    <row r="34" spans="1:4" s="193" customFormat="1" ht="13.5" x14ac:dyDescent="0.25">
      <c r="A34" s="213"/>
      <c r="B34" s="213"/>
      <c r="C34" s="190"/>
      <c r="D34" s="213"/>
    </row>
    <row r="35" spans="1:4" s="193" customFormat="1" ht="13.5" x14ac:dyDescent="0.25">
      <c r="A35" s="194" t="s">
        <v>1644</v>
      </c>
    </row>
    <row r="36" spans="1:4" s="193" customFormat="1" ht="13.5" x14ac:dyDescent="0.25">
      <c r="A36" s="194" t="s">
        <v>1563</v>
      </c>
    </row>
    <row r="37" spans="1:4" s="193" customFormat="1" ht="13.5" x14ac:dyDescent="0.25">
      <c r="A37" s="194" t="s">
        <v>1645</v>
      </c>
    </row>
    <row r="38" spans="1:4" s="193" customFormat="1" ht="13.5" x14ac:dyDescent="0.25"/>
    <row r="39" spans="1:4" s="193" customFormat="1" ht="13.5" x14ac:dyDescent="0.25"/>
    <row r="40" spans="1:4" s="193" customFormat="1" ht="13.5" x14ac:dyDescent="0.25"/>
    <row r="41" spans="1:4" s="193" customFormat="1" ht="13.5" x14ac:dyDescent="0.25"/>
    <row r="42" spans="1:4" s="193" customFormat="1" ht="13.5" x14ac:dyDescent="0.25"/>
    <row r="43" spans="1:4" s="193" customFormat="1" ht="13.5" x14ac:dyDescent="0.25"/>
    <row r="44" spans="1:4" s="193" customFormat="1" ht="13.5" x14ac:dyDescent="0.25"/>
    <row r="45" spans="1:4" s="193" customFormat="1" ht="13.5" x14ac:dyDescent="0.25"/>
    <row r="46" spans="1:4" s="193" customFormat="1" ht="13.5" x14ac:dyDescent="0.25"/>
    <row r="47" spans="1:4" s="193" customFormat="1" ht="13.5" x14ac:dyDescent="0.25"/>
    <row r="48" spans="1:4" s="193" customFormat="1" ht="13.5" x14ac:dyDescent="0.25"/>
    <row r="49" s="193" customFormat="1" ht="13.5" x14ac:dyDescent="0.25"/>
    <row r="50" s="193" customFormat="1" ht="13.5" x14ac:dyDescent="0.25"/>
    <row r="51" s="193" customFormat="1" ht="13.5" x14ac:dyDescent="0.25"/>
    <row r="52" s="193" customFormat="1" ht="13.5" x14ac:dyDescent="0.25"/>
    <row r="53" s="193" customFormat="1" ht="13.5" x14ac:dyDescent="0.25"/>
    <row r="54" s="193" customFormat="1" ht="13.5" x14ac:dyDescent="0.25"/>
    <row r="55" s="193" customFormat="1" ht="13.5" x14ac:dyDescent="0.25"/>
    <row r="56" s="193" customFormat="1" ht="13.5" x14ac:dyDescent="0.25"/>
    <row r="57" s="193" customFormat="1" ht="13.5" x14ac:dyDescent="0.25"/>
    <row r="58" s="193" customFormat="1" ht="13.5" x14ac:dyDescent="0.25"/>
    <row r="59" s="193" customFormat="1" ht="13.5" x14ac:dyDescent="0.25"/>
    <row r="60" s="193" customFormat="1" ht="13.5" x14ac:dyDescent="0.25"/>
    <row r="61" s="193" customFormat="1" ht="13.5" x14ac:dyDescent="0.25"/>
    <row r="62" s="193" customFormat="1" ht="13.5" x14ac:dyDescent="0.25"/>
    <row r="63" s="193" customFormat="1" ht="13.5" x14ac:dyDescent="0.25"/>
    <row r="64" s="193" customFormat="1" ht="13.5" x14ac:dyDescent="0.25"/>
    <row r="65" s="193" customFormat="1" ht="13.5" x14ac:dyDescent="0.25"/>
    <row r="66" s="193" customFormat="1" ht="13.5" x14ac:dyDescent="0.25"/>
    <row r="67" s="193" customFormat="1" ht="13.5" x14ac:dyDescent="0.25"/>
    <row r="68" s="193" customFormat="1" ht="13.5" x14ac:dyDescent="0.25"/>
    <row r="69" s="193" customFormat="1" ht="13.5" x14ac:dyDescent="0.25"/>
    <row r="70" s="193" customFormat="1" ht="13.5" x14ac:dyDescent="0.25"/>
    <row r="71" s="193" customFormat="1" ht="13.5" x14ac:dyDescent="0.25"/>
    <row r="72" s="193" customFormat="1" ht="13.5" x14ac:dyDescent="0.25"/>
    <row r="73" s="193" customFormat="1" ht="13.5" x14ac:dyDescent="0.25"/>
    <row r="74" s="193" customFormat="1" ht="13.5" x14ac:dyDescent="0.25"/>
    <row r="75" s="193" customFormat="1" ht="13.5" x14ac:dyDescent="0.25"/>
    <row r="76" s="193" customFormat="1" ht="13.5" x14ac:dyDescent="0.25"/>
    <row r="77" s="193" customFormat="1" ht="13.5" x14ac:dyDescent="0.25"/>
    <row r="78" s="193" customFormat="1" ht="13.5" x14ac:dyDescent="0.25"/>
    <row r="79" s="193" customFormat="1" ht="13.5" x14ac:dyDescent="0.25"/>
    <row r="80" s="193" customFormat="1" ht="13.5" x14ac:dyDescent="0.25"/>
    <row r="81" s="193" customFormat="1" ht="13.5" x14ac:dyDescent="0.25"/>
    <row r="82" s="193" customFormat="1" ht="13.5" x14ac:dyDescent="0.25"/>
    <row r="83" s="193" customFormat="1" ht="13.5" x14ac:dyDescent="0.25"/>
    <row r="84" s="193" customFormat="1" ht="13.5" x14ac:dyDescent="0.25"/>
    <row r="85" s="193" customFormat="1" ht="13.5" x14ac:dyDescent="0.25"/>
    <row r="86" s="193" customFormat="1" ht="13.5" x14ac:dyDescent="0.25"/>
    <row r="87" s="193" customFormat="1" ht="13.5" x14ac:dyDescent="0.25"/>
    <row r="88" s="193" customFormat="1" ht="13.5" x14ac:dyDescent="0.25"/>
    <row r="89" s="193" customFormat="1" ht="13.5" x14ac:dyDescent="0.25"/>
    <row r="90" s="193" customFormat="1" ht="13.5" x14ac:dyDescent="0.25"/>
    <row r="91" s="193" customFormat="1" ht="13.5" x14ac:dyDescent="0.25"/>
    <row r="92" s="193" customFormat="1" ht="13.5" x14ac:dyDescent="0.25"/>
    <row r="93" s="193" customFormat="1" ht="13.5" x14ac:dyDescent="0.25"/>
    <row r="94" s="193" customFormat="1" ht="13.5" x14ac:dyDescent="0.25"/>
    <row r="95" s="193" customFormat="1" ht="13.5" x14ac:dyDescent="0.25"/>
    <row r="96" s="193" customFormat="1" ht="13.5" x14ac:dyDescent="0.25"/>
    <row r="97" s="193" customFormat="1" ht="13.5" x14ac:dyDescent="0.25"/>
    <row r="98" s="193" customFormat="1" ht="13.5" x14ac:dyDescent="0.25"/>
    <row r="99" s="193" customFormat="1" ht="13.5" x14ac:dyDescent="0.25"/>
    <row r="100" s="193" customFormat="1" ht="13.5" x14ac:dyDescent="0.25"/>
    <row r="101" s="193" customFormat="1" ht="13.5" x14ac:dyDescent="0.25"/>
    <row r="102" s="193" customFormat="1" ht="13.5" x14ac:dyDescent="0.25"/>
    <row r="103" s="193" customFormat="1" ht="13.5" x14ac:dyDescent="0.25"/>
    <row r="104" s="193" customFormat="1" ht="13.5" x14ac:dyDescent="0.25"/>
    <row r="105" s="193" customFormat="1" ht="13.5" x14ac:dyDescent="0.25"/>
    <row r="106" s="193" customFormat="1" ht="13.5" x14ac:dyDescent="0.25"/>
    <row r="107" s="193" customFormat="1" ht="13.5" x14ac:dyDescent="0.25"/>
    <row r="108" s="193" customFormat="1" ht="13.5" x14ac:dyDescent="0.25"/>
    <row r="109" s="193" customFormat="1" ht="13.5" x14ac:dyDescent="0.25"/>
    <row r="110" s="193" customFormat="1" ht="13.5" x14ac:dyDescent="0.25"/>
    <row r="111" s="193" customFormat="1" ht="13.5" x14ac:dyDescent="0.25"/>
    <row r="112" s="193" customFormat="1" ht="13.5" x14ac:dyDescent="0.25"/>
    <row r="113" s="193" customFormat="1" ht="13.5" x14ac:dyDescent="0.25"/>
    <row r="114" s="193" customFormat="1" ht="13.5" x14ac:dyDescent="0.25"/>
    <row r="115" s="193" customFormat="1" ht="13.5" x14ac:dyDescent="0.25"/>
    <row r="116" s="193" customFormat="1" ht="13.5" x14ac:dyDescent="0.25"/>
    <row r="117" s="193" customFormat="1" ht="13.5" x14ac:dyDescent="0.25"/>
    <row r="118" s="193" customFormat="1" ht="13.5" x14ac:dyDescent="0.25"/>
    <row r="119" s="193" customFormat="1" ht="13.5" x14ac:dyDescent="0.25"/>
    <row r="120" s="193" customFormat="1" ht="13.5" x14ac:dyDescent="0.25"/>
    <row r="121" s="193" customFormat="1" ht="13.5" x14ac:dyDescent="0.25"/>
    <row r="122" s="193" customFormat="1" ht="13.5" x14ac:dyDescent="0.25"/>
    <row r="123" s="193" customFormat="1" ht="13.5" x14ac:dyDescent="0.25"/>
    <row r="124" s="193" customFormat="1" ht="13.5" x14ac:dyDescent="0.25"/>
    <row r="125" s="193" customFormat="1" ht="13.5" x14ac:dyDescent="0.25"/>
    <row r="126" s="193" customFormat="1" ht="13.5" x14ac:dyDescent="0.25"/>
    <row r="127" s="193" customFormat="1" ht="13.5" x14ac:dyDescent="0.25"/>
    <row r="128" s="193" customFormat="1" ht="13.5" x14ac:dyDescent="0.25"/>
    <row r="129" s="193" customFormat="1" ht="13.5" x14ac:dyDescent="0.25"/>
    <row r="130" s="193" customFormat="1" ht="13.5" x14ac:dyDescent="0.25"/>
    <row r="131" s="193" customFormat="1" ht="13.5" x14ac:dyDescent="0.25"/>
    <row r="132" s="193" customFormat="1" ht="13.5" x14ac:dyDescent="0.25"/>
    <row r="133" s="193" customFormat="1" ht="13.5" x14ac:dyDescent="0.25"/>
    <row r="134" s="193" customFormat="1" ht="13.5" x14ac:dyDescent="0.25"/>
    <row r="135" s="193" customFormat="1" ht="13.5" x14ac:dyDescent="0.25"/>
    <row r="136" s="193" customFormat="1" ht="13.5" x14ac:dyDescent="0.25"/>
    <row r="137" s="193" customFormat="1" ht="13.5" x14ac:dyDescent="0.25"/>
    <row r="138" s="193" customFormat="1" ht="13.5" x14ac:dyDescent="0.25"/>
    <row r="139" s="193" customFormat="1" ht="13.5" x14ac:dyDescent="0.25"/>
    <row r="140" s="193" customFormat="1" ht="13.5" x14ac:dyDescent="0.25"/>
    <row r="141" s="193" customFormat="1" ht="13.5" x14ac:dyDescent="0.25"/>
    <row r="142" s="193" customFormat="1" ht="13.5" x14ac:dyDescent="0.25"/>
    <row r="143" s="193" customFormat="1" ht="13.5" x14ac:dyDescent="0.25"/>
    <row r="144" s="193" customFormat="1" ht="13.5" x14ac:dyDescent="0.25"/>
    <row r="145" s="193" customFormat="1" ht="13.5" x14ac:dyDescent="0.25"/>
    <row r="146" s="193" customFormat="1" ht="13.5" x14ac:dyDescent="0.25"/>
    <row r="147" s="193" customFormat="1" ht="13.5" x14ac:dyDescent="0.25"/>
    <row r="148" s="193" customFormat="1" ht="13.5" x14ac:dyDescent="0.25"/>
    <row r="149" s="193" customFormat="1" ht="13.5" x14ac:dyDescent="0.25"/>
    <row r="150" s="193" customFormat="1" ht="13.5" x14ac:dyDescent="0.25"/>
    <row r="151" s="193" customFormat="1" ht="13.5" x14ac:dyDescent="0.25"/>
    <row r="152" s="193" customFormat="1" ht="13.5" x14ac:dyDescent="0.25"/>
    <row r="153" s="193" customFormat="1" ht="13.5" x14ac:dyDescent="0.25"/>
    <row r="154" s="193" customFormat="1" ht="13.5" x14ac:dyDescent="0.25"/>
    <row r="155" s="193" customFormat="1" ht="13.5" x14ac:dyDescent="0.25"/>
    <row r="156" s="193" customFormat="1" ht="13.5" x14ac:dyDescent="0.25"/>
    <row r="157" s="193" customFormat="1" ht="13.5" x14ac:dyDescent="0.25"/>
    <row r="158" s="193" customFormat="1" ht="13.5" x14ac:dyDescent="0.25"/>
    <row r="159" s="193" customFormat="1" ht="13.5" x14ac:dyDescent="0.25"/>
    <row r="160" s="193" customFormat="1" ht="13.5" x14ac:dyDescent="0.25"/>
    <row r="161" s="193" customFormat="1" ht="13.5" x14ac:dyDescent="0.25"/>
    <row r="162" s="193" customFormat="1" ht="13.5" x14ac:dyDescent="0.25"/>
    <row r="163" s="193" customFormat="1" ht="13.5" x14ac:dyDescent="0.25"/>
    <row r="164" s="193" customFormat="1" ht="13.5" x14ac:dyDescent="0.25"/>
    <row r="165" s="193" customFormat="1" ht="13.5" x14ac:dyDescent="0.25"/>
    <row r="166" s="193" customFormat="1" ht="13.5" x14ac:dyDescent="0.25"/>
    <row r="167" s="193" customFormat="1" ht="13.5" x14ac:dyDescent="0.25"/>
    <row r="168" s="193" customFormat="1" ht="13.5" x14ac:dyDescent="0.25"/>
    <row r="169" s="193" customFormat="1" ht="13.5" x14ac:dyDescent="0.25"/>
    <row r="170" s="193" customFormat="1" ht="13.5" x14ac:dyDescent="0.25"/>
    <row r="171" s="193" customFormat="1" ht="13.5" x14ac:dyDescent="0.25"/>
    <row r="172" s="193" customFormat="1" ht="13.5" x14ac:dyDescent="0.25"/>
    <row r="173" s="193" customFormat="1" ht="13.5" x14ac:dyDescent="0.25"/>
    <row r="174" s="193" customFormat="1" ht="13.5" x14ac:dyDescent="0.25"/>
    <row r="175" s="193" customFormat="1" ht="13.5" x14ac:dyDescent="0.25"/>
    <row r="176" s="193" customFormat="1" ht="13.5" x14ac:dyDescent="0.25"/>
    <row r="177" s="193" customFormat="1" ht="13.5" x14ac:dyDescent="0.25"/>
    <row r="178" s="193" customFormat="1" ht="13.5" x14ac:dyDescent="0.25"/>
    <row r="179" s="193" customFormat="1" ht="13.5" x14ac:dyDescent="0.25"/>
    <row r="180" s="193" customFormat="1" ht="13.5" x14ac:dyDescent="0.25"/>
    <row r="181" s="193" customFormat="1" ht="13.5" x14ac:dyDescent="0.25"/>
    <row r="182" s="193" customFormat="1" ht="13.5" x14ac:dyDescent="0.25"/>
    <row r="183" s="193" customFormat="1" ht="13.5" x14ac:dyDescent="0.25"/>
    <row r="184" s="193" customFormat="1" ht="13.5" x14ac:dyDescent="0.25"/>
    <row r="185" s="193" customFormat="1" ht="13.5" x14ac:dyDescent="0.25"/>
    <row r="186" s="193" customFormat="1" ht="13.5" x14ac:dyDescent="0.25"/>
    <row r="187" s="193" customFormat="1" ht="13.5" x14ac:dyDescent="0.25"/>
    <row r="188" s="193" customFormat="1" ht="13.5" x14ac:dyDescent="0.25"/>
    <row r="189" s="193" customFormat="1" ht="13.5" x14ac:dyDescent="0.25"/>
    <row r="190" s="193" customFormat="1" ht="13.5" x14ac:dyDescent="0.25"/>
    <row r="191" s="193" customFormat="1" ht="13.5" x14ac:dyDescent="0.25"/>
    <row r="192" s="193" customFormat="1" ht="13.5" x14ac:dyDescent="0.25"/>
    <row r="193" s="193" customFormat="1" ht="13.5" x14ac:dyDescent="0.25"/>
    <row r="194" s="193" customFormat="1" ht="13.5" x14ac:dyDescent="0.25"/>
    <row r="195" s="193" customFormat="1" ht="13.5" x14ac:dyDescent="0.25"/>
    <row r="196" s="193" customFormat="1" ht="13.5" x14ac:dyDescent="0.25"/>
    <row r="197" s="193" customFormat="1" ht="13.5" x14ac:dyDescent="0.25"/>
    <row r="198" s="193" customFormat="1" ht="13.5" x14ac:dyDescent="0.25"/>
    <row r="199" s="193" customFormat="1" ht="13.5" x14ac:dyDescent="0.25"/>
    <row r="200" s="193" customFormat="1" ht="13.5" x14ac:dyDescent="0.25"/>
    <row r="201" s="193" customFormat="1" ht="13.5" x14ac:dyDescent="0.25"/>
    <row r="202" s="193" customFormat="1" ht="13.5" x14ac:dyDescent="0.25"/>
    <row r="203" s="193" customFormat="1" ht="13.5" x14ac:dyDescent="0.25"/>
    <row r="204" s="193" customFormat="1" ht="13.5" x14ac:dyDescent="0.25"/>
    <row r="205" s="193" customFormat="1" ht="13.5" x14ac:dyDescent="0.25"/>
    <row r="206" s="193" customFormat="1" ht="13.5" x14ac:dyDescent="0.25"/>
    <row r="207" s="193" customFormat="1" ht="13.5" x14ac:dyDescent="0.25"/>
    <row r="208" s="193" customFormat="1" ht="13.5" x14ac:dyDescent="0.25"/>
    <row r="209" s="193" customFormat="1" ht="13.5" x14ac:dyDescent="0.25"/>
    <row r="210" s="193" customFormat="1" ht="13.5" x14ac:dyDescent="0.25"/>
    <row r="211" s="193" customFormat="1" ht="13.5" x14ac:dyDescent="0.25"/>
    <row r="212" s="193" customFormat="1" ht="13.5" x14ac:dyDescent="0.25"/>
    <row r="213" s="193" customFormat="1" ht="13.5" x14ac:dyDescent="0.25"/>
    <row r="214" s="193" customFormat="1" ht="13.5" x14ac:dyDescent="0.25"/>
    <row r="215" s="193" customFormat="1" ht="13.5" x14ac:dyDescent="0.25"/>
    <row r="216" s="193" customFormat="1" ht="13.5" x14ac:dyDescent="0.25"/>
    <row r="217" s="193" customFormat="1" ht="13.5" x14ac:dyDescent="0.25"/>
    <row r="218" s="193" customFormat="1" ht="13.5" x14ac:dyDescent="0.25"/>
    <row r="219" s="193" customFormat="1" ht="13.5" x14ac:dyDescent="0.25"/>
    <row r="220" s="193" customFormat="1" ht="13.5" x14ac:dyDescent="0.25"/>
    <row r="221" s="193" customFormat="1" ht="13.5" x14ac:dyDescent="0.25"/>
    <row r="222" s="193" customFormat="1" ht="13.5" x14ac:dyDescent="0.25"/>
    <row r="223" s="193" customFormat="1" ht="13.5" x14ac:dyDescent="0.25"/>
    <row r="224" s="193" customFormat="1" ht="13.5" x14ac:dyDescent="0.25"/>
    <row r="225" s="193" customFormat="1" ht="13.5" x14ac:dyDescent="0.25"/>
    <row r="226" s="193" customFormat="1" ht="13.5" x14ac:dyDescent="0.25"/>
    <row r="227" s="193" customFormat="1" ht="13.5" x14ac:dyDescent="0.25"/>
    <row r="228" s="193" customFormat="1" ht="13.5" x14ac:dyDescent="0.25"/>
    <row r="229" s="193" customFormat="1" ht="13.5" x14ac:dyDescent="0.25"/>
    <row r="230" s="193" customFormat="1" ht="13.5" x14ac:dyDescent="0.25"/>
    <row r="231" s="193" customFormat="1" ht="13.5" x14ac:dyDescent="0.25"/>
    <row r="232" s="193" customFormat="1" ht="13.5" x14ac:dyDescent="0.25"/>
    <row r="233" s="193" customFormat="1" ht="13.5" x14ac:dyDescent="0.25"/>
    <row r="234" s="193" customFormat="1" ht="13.5" x14ac:dyDescent="0.25"/>
    <row r="235" s="193" customFormat="1" ht="13.5" x14ac:dyDescent="0.25"/>
    <row r="236" s="193" customFormat="1" ht="13.5" x14ac:dyDescent="0.25"/>
    <row r="237" s="193" customFormat="1" ht="13.5" x14ac:dyDescent="0.25"/>
    <row r="238" s="193" customFormat="1" ht="13.5" x14ac:dyDescent="0.25"/>
    <row r="239" s="193" customFormat="1" ht="13.5" x14ac:dyDescent="0.25"/>
    <row r="240" s="193" customFormat="1" ht="13.5" x14ac:dyDescent="0.25"/>
    <row r="241" s="193" customFormat="1" ht="13.5" x14ac:dyDescent="0.25"/>
    <row r="242" s="193" customFormat="1" ht="13.5" x14ac:dyDescent="0.25"/>
    <row r="243" s="193" customFormat="1" ht="13.5" x14ac:dyDescent="0.25"/>
    <row r="244" s="193" customFormat="1" ht="13.5" x14ac:dyDescent="0.25"/>
    <row r="245" s="193" customFormat="1" ht="13.5" x14ac:dyDescent="0.25"/>
    <row r="246" s="193" customFormat="1" ht="13.5" x14ac:dyDescent="0.25"/>
    <row r="247" s="193" customFormat="1" ht="13.5" x14ac:dyDescent="0.25"/>
    <row r="248" s="193" customFormat="1" ht="13.5" x14ac:dyDescent="0.25"/>
    <row r="249" s="193" customFormat="1" ht="13.5" x14ac:dyDescent="0.25"/>
    <row r="250" s="193" customFormat="1" ht="13.5" x14ac:dyDescent="0.25"/>
    <row r="251" s="193" customFormat="1" ht="13.5" x14ac:dyDescent="0.25"/>
    <row r="252" s="193" customFormat="1" ht="13.5" x14ac:dyDescent="0.25"/>
    <row r="253" s="193" customFormat="1" ht="13.5" x14ac:dyDescent="0.25"/>
    <row r="254" s="193" customFormat="1" ht="13.5" x14ac:dyDescent="0.25"/>
    <row r="255" s="193" customFormat="1" ht="13.5" x14ac:dyDescent="0.25"/>
    <row r="256" s="193" customFormat="1" ht="13.5" x14ac:dyDescent="0.25"/>
    <row r="257" s="193" customFormat="1" ht="13.5" x14ac:dyDescent="0.25"/>
    <row r="258" s="193" customFormat="1" ht="13.5" x14ac:dyDescent="0.25"/>
    <row r="259" s="193" customFormat="1" ht="13.5" x14ac:dyDescent="0.25"/>
    <row r="260" s="193" customFormat="1" ht="13.5" x14ac:dyDescent="0.25"/>
    <row r="261" s="193" customFormat="1" ht="13.5" x14ac:dyDescent="0.25"/>
    <row r="262" s="193" customFormat="1" ht="13.5" x14ac:dyDescent="0.25"/>
    <row r="263" s="193" customFormat="1" ht="13.5" x14ac:dyDescent="0.25"/>
    <row r="264" s="193" customFormat="1" ht="13.5" x14ac:dyDescent="0.25"/>
    <row r="265" s="193" customFormat="1" ht="13.5" x14ac:dyDescent="0.25"/>
    <row r="266" s="193" customFormat="1" ht="13.5" x14ac:dyDescent="0.25"/>
    <row r="267" s="193" customFormat="1" ht="13.5" x14ac:dyDescent="0.25"/>
    <row r="268" s="193" customFormat="1" ht="13.5" x14ac:dyDescent="0.25"/>
    <row r="269" s="193" customFormat="1" ht="13.5" x14ac:dyDescent="0.25"/>
    <row r="270" s="193" customFormat="1" ht="13.5" x14ac:dyDescent="0.25"/>
    <row r="271" s="193" customFormat="1" ht="13.5" x14ac:dyDescent="0.25"/>
    <row r="272" s="193" customFormat="1" ht="13.5" x14ac:dyDescent="0.25"/>
    <row r="273" s="193" customFormat="1" ht="13.5" x14ac:dyDescent="0.25"/>
    <row r="274" s="193" customFormat="1" ht="13.5" x14ac:dyDescent="0.25"/>
    <row r="275" s="193" customFormat="1" ht="13.5" x14ac:dyDescent="0.25"/>
    <row r="276" s="193" customFormat="1" ht="13.5" x14ac:dyDescent="0.25"/>
    <row r="277" s="193" customFormat="1" ht="13.5" x14ac:dyDescent="0.25"/>
    <row r="278" s="193" customFormat="1" ht="13.5" x14ac:dyDescent="0.25"/>
    <row r="279" s="193" customFormat="1" ht="13.5" x14ac:dyDescent="0.25"/>
    <row r="280" s="193" customFormat="1" ht="13.5" x14ac:dyDescent="0.25"/>
    <row r="281" s="193" customFormat="1" ht="13.5" x14ac:dyDescent="0.25"/>
    <row r="282" s="193" customFormat="1" ht="13.5" x14ac:dyDescent="0.25"/>
    <row r="283" s="193" customFormat="1" ht="13.5" x14ac:dyDescent="0.25"/>
    <row r="284" s="193" customFormat="1" ht="13.5" x14ac:dyDescent="0.25"/>
    <row r="285" s="193" customFormat="1" ht="13.5" x14ac:dyDescent="0.25"/>
    <row r="286" s="193" customFormat="1" ht="13.5" x14ac:dyDescent="0.25"/>
    <row r="287" s="193" customFormat="1" ht="13.5" x14ac:dyDescent="0.25"/>
    <row r="288" s="193" customFormat="1" ht="13.5" x14ac:dyDescent="0.25"/>
    <row r="289" s="193" customFormat="1" ht="13.5" x14ac:dyDescent="0.25"/>
    <row r="290" s="193" customFormat="1" ht="13.5" x14ac:dyDescent="0.25"/>
    <row r="291" s="193" customFormat="1" ht="13.5" x14ac:dyDescent="0.25"/>
    <row r="292" s="193" customFormat="1" ht="13.5" x14ac:dyDescent="0.25"/>
    <row r="293" s="193" customFormat="1" ht="13.5" x14ac:dyDescent="0.25"/>
    <row r="294" s="193" customFormat="1" ht="13.5" x14ac:dyDescent="0.25"/>
    <row r="295" s="193" customFormat="1" ht="13.5" x14ac:dyDescent="0.25"/>
    <row r="296" s="193" customFormat="1" ht="13.5" x14ac:dyDescent="0.25"/>
    <row r="297" s="193" customFormat="1" ht="13.5" x14ac:dyDescent="0.25"/>
    <row r="298" s="193" customFormat="1" ht="13.5" x14ac:dyDescent="0.25"/>
    <row r="299" s="193" customFormat="1" ht="13.5" x14ac:dyDescent="0.25"/>
    <row r="300" s="193" customFormat="1" ht="13.5" x14ac:dyDescent="0.25"/>
    <row r="301" s="193" customFormat="1" ht="13.5" x14ac:dyDescent="0.25"/>
    <row r="302" s="193" customFormat="1" ht="13.5" x14ac:dyDescent="0.25"/>
    <row r="303" s="193" customFormat="1" ht="13.5" x14ac:dyDescent="0.25"/>
    <row r="304" s="193" customFormat="1" ht="13.5" x14ac:dyDescent="0.25"/>
    <row r="305" s="193" customFormat="1" ht="13.5" x14ac:dyDescent="0.25"/>
    <row r="306" s="193" customFormat="1" ht="13.5" x14ac:dyDescent="0.25"/>
    <row r="307" s="193" customFormat="1" ht="13.5" x14ac:dyDescent="0.25"/>
    <row r="308" s="193" customFormat="1" ht="13.5" x14ac:dyDescent="0.25"/>
    <row r="309" s="193" customFormat="1" ht="13.5" x14ac:dyDescent="0.25"/>
    <row r="310" s="193" customFormat="1" ht="13.5" x14ac:dyDescent="0.25"/>
    <row r="311" s="193" customFormat="1" ht="13.5" x14ac:dyDescent="0.25"/>
    <row r="312" s="193" customFormat="1" ht="13.5" x14ac:dyDescent="0.25"/>
    <row r="313" s="193" customFormat="1" ht="13.5" x14ac:dyDescent="0.25"/>
    <row r="314" s="193" customFormat="1" ht="13.5" x14ac:dyDescent="0.25"/>
    <row r="315" s="193" customFormat="1" ht="13.5" x14ac:dyDescent="0.25"/>
    <row r="316" s="193" customFormat="1" ht="13.5" x14ac:dyDescent="0.25"/>
    <row r="317" s="193" customFormat="1" ht="13.5" x14ac:dyDescent="0.25"/>
    <row r="318" s="193" customFormat="1" ht="13.5" x14ac:dyDescent="0.25"/>
    <row r="319" s="193" customFormat="1" ht="13.5" x14ac:dyDescent="0.25"/>
    <row r="320" s="193" customFormat="1" ht="13.5" x14ac:dyDescent="0.25"/>
  </sheetData>
  <mergeCells count="4">
    <mergeCell ref="A3:B3"/>
    <mergeCell ref="C3:C4"/>
    <mergeCell ref="D3:D4"/>
    <mergeCell ref="A1:D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F7FC4-99BD-4CE3-B080-353D02A5E89B}">
  <dimension ref="A1:D319"/>
  <sheetViews>
    <sheetView workbookViewId="0">
      <selection activeCell="F19" sqref="F19"/>
    </sheetView>
  </sheetViews>
  <sheetFormatPr defaultColWidth="8.7109375" defaultRowHeight="12.75" x14ac:dyDescent="0.2"/>
  <cols>
    <col min="1" max="2" width="6.42578125" style="191" customWidth="1"/>
    <col min="3" max="3" width="55.42578125" style="191" customWidth="1"/>
    <col min="4" max="4" width="7.28515625" style="191" customWidth="1"/>
    <col min="5" max="16384" width="8.7109375" style="191"/>
  </cols>
  <sheetData>
    <row r="1" spans="1:4" ht="38.1" customHeight="1" x14ac:dyDescent="0.2">
      <c r="A1" s="489" t="s">
        <v>1646</v>
      </c>
      <c r="B1" s="489"/>
      <c r="C1" s="489"/>
      <c r="D1" s="489"/>
    </row>
    <row r="2" spans="1:4" s="193" customFormat="1" ht="13.5" x14ac:dyDescent="0.25"/>
    <row r="3" spans="1:4" s="193" customFormat="1" ht="13.5" x14ac:dyDescent="0.25">
      <c r="A3" s="499" t="s">
        <v>363</v>
      </c>
      <c r="B3" s="499"/>
      <c r="C3" s="499" t="s">
        <v>1448</v>
      </c>
      <c r="D3" s="499" t="s">
        <v>1449</v>
      </c>
    </row>
    <row r="4" spans="1:4" s="193" customFormat="1" ht="13.5" x14ac:dyDescent="0.25">
      <c r="A4" s="210" t="s">
        <v>367</v>
      </c>
      <c r="B4" s="210" t="s">
        <v>368</v>
      </c>
      <c r="C4" s="500"/>
      <c r="D4" s="500"/>
    </row>
    <row r="5" spans="1:4" s="193" customFormat="1" ht="13.5" x14ac:dyDescent="0.25">
      <c r="A5" s="211"/>
      <c r="B5" s="211"/>
      <c r="C5" s="204" t="s">
        <v>1647</v>
      </c>
      <c r="D5" s="211"/>
    </row>
    <row r="6" spans="1:4" s="193" customFormat="1" ht="13.5" x14ac:dyDescent="0.25">
      <c r="A6" s="206">
        <v>63010</v>
      </c>
      <c r="B6" s="206" t="s">
        <v>1648</v>
      </c>
      <c r="C6" s="211" t="s">
        <v>1649</v>
      </c>
      <c r="D6" s="206">
        <v>26.98</v>
      </c>
    </row>
    <row r="7" spans="1:4" s="193" customFormat="1" ht="13.5" x14ac:dyDescent="0.25">
      <c r="A7" s="206">
        <v>63011</v>
      </c>
      <c r="B7" s="206" t="s">
        <v>1586</v>
      </c>
      <c r="C7" s="211" t="s">
        <v>1650</v>
      </c>
      <c r="D7" s="206">
        <v>59.89</v>
      </c>
    </row>
    <row r="8" spans="1:4" s="193" customFormat="1" ht="13.5" x14ac:dyDescent="0.25">
      <c r="A8" s="206">
        <v>63017</v>
      </c>
      <c r="B8" s="206" t="s">
        <v>897</v>
      </c>
      <c r="C8" s="211" t="s">
        <v>1651</v>
      </c>
      <c r="D8" s="230">
        <v>72</v>
      </c>
    </row>
    <row r="9" spans="1:4" s="193" customFormat="1" ht="13.5" x14ac:dyDescent="0.25">
      <c r="A9" s="208">
        <v>63020</v>
      </c>
      <c r="B9" s="208" t="s">
        <v>1595</v>
      </c>
      <c r="C9" s="212" t="s">
        <v>1652</v>
      </c>
      <c r="D9" s="231">
        <v>29.3</v>
      </c>
    </row>
    <row r="10" spans="1:4" s="193" customFormat="1" ht="13.5" x14ac:dyDescent="0.25"/>
    <row r="11" spans="1:4" s="193" customFormat="1" ht="13.5" x14ac:dyDescent="0.25"/>
    <row r="12" spans="1:4" s="193" customFormat="1" ht="13.5" x14ac:dyDescent="0.25"/>
    <row r="13" spans="1:4" s="193" customFormat="1" ht="13.5" x14ac:dyDescent="0.25"/>
    <row r="14" spans="1:4" s="193" customFormat="1" ht="13.5" x14ac:dyDescent="0.25"/>
    <row r="15" spans="1:4" s="193" customFormat="1" ht="13.5" x14ac:dyDescent="0.25"/>
    <row r="16" spans="1:4" s="193" customFormat="1" ht="13.5" x14ac:dyDescent="0.25"/>
    <row r="17" s="193" customFormat="1" ht="13.5" x14ac:dyDescent="0.25"/>
    <row r="18" s="193" customFormat="1" ht="13.5" x14ac:dyDescent="0.25"/>
    <row r="19" s="193" customFormat="1" ht="13.5" x14ac:dyDescent="0.25"/>
    <row r="20" s="193" customFormat="1" ht="13.5" x14ac:dyDescent="0.25"/>
    <row r="21" s="193" customFormat="1" ht="13.5" x14ac:dyDescent="0.25"/>
    <row r="22" s="193" customFormat="1" ht="13.5" x14ac:dyDescent="0.25"/>
    <row r="23" s="193" customFormat="1" ht="13.5" x14ac:dyDescent="0.25"/>
    <row r="24" s="193" customFormat="1" ht="13.5" x14ac:dyDescent="0.25"/>
    <row r="25" s="193" customFormat="1" ht="13.5" x14ac:dyDescent="0.25"/>
    <row r="26" s="193" customFormat="1" ht="13.5" x14ac:dyDescent="0.25"/>
    <row r="27" s="193" customFormat="1" ht="13.5" x14ac:dyDescent="0.25"/>
    <row r="28" s="193" customFormat="1" ht="13.5" x14ac:dyDescent="0.25"/>
    <row r="29" s="193" customFormat="1" ht="13.5" x14ac:dyDescent="0.25"/>
    <row r="30" s="193" customFormat="1" ht="13.5" x14ac:dyDescent="0.25"/>
    <row r="31" s="193" customFormat="1" ht="13.5" x14ac:dyDescent="0.25"/>
    <row r="32" s="193" customFormat="1" ht="13.5" x14ac:dyDescent="0.25"/>
    <row r="33" s="193" customFormat="1" ht="13.5" x14ac:dyDescent="0.25"/>
    <row r="34" s="193" customFormat="1" ht="13.5" x14ac:dyDescent="0.25"/>
    <row r="35" s="193" customFormat="1" ht="13.5" x14ac:dyDescent="0.25"/>
    <row r="36" s="193" customFormat="1" ht="13.5" x14ac:dyDescent="0.25"/>
    <row r="37" s="193" customFormat="1" ht="13.5" x14ac:dyDescent="0.25"/>
    <row r="38" s="193" customFormat="1" ht="13.5" x14ac:dyDescent="0.25"/>
    <row r="39" s="193" customFormat="1" ht="13.5" x14ac:dyDescent="0.25"/>
    <row r="40" s="193" customFormat="1" ht="13.5" x14ac:dyDescent="0.25"/>
    <row r="41" s="193" customFormat="1" ht="13.5" x14ac:dyDescent="0.25"/>
    <row r="42" s="193" customFormat="1" ht="13.5" x14ac:dyDescent="0.25"/>
    <row r="43" s="193" customFormat="1" ht="13.5" x14ac:dyDescent="0.25"/>
    <row r="44" s="193" customFormat="1" ht="13.5" x14ac:dyDescent="0.25"/>
    <row r="45" s="193" customFormat="1" ht="13.5" x14ac:dyDescent="0.25"/>
    <row r="46" s="193" customFormat="1" ht="13.5" x14ac:dyDescent="0.25"/>
    <row r="47" s="193" customFormat="1" ht="13.5" x14ac:dyDescent="0.25"/>
    <row r="48" s="193" customFormat="1" ht="13.5" x14ac:dyDescent="0.25"/>
    <row r="49" s="193" customFormat="1" ht="13.5" x14ac:dyDescent="0.25"/>
    <row r="50" s="193" customFormat="1" ht="13.5" x14ac:dyDescent="0.25"/>
    <row r="51" s="193" customFormat="1" ht="13.5" x14ac:dyDescent="0.25"/>
    <row r="52" s="193" customFormat="1" ht="13.5" x14ac:dyDescent="0.25"/>
    <row r="53" s="193" customFormat="1" ht="13.5" x14ac:dyDescent="0.25"/>
    <row r="54" s="193" customFormat="1" ht="13.5" x14ac:dyDescent="0.25"/>
    <row r="55" s="193" customFormat="1" ht="13.5" x14ac:dyDescent="0.25"/>
    <row r="56" s="193" customFormat="1" ht="13.5" x14ac:dyDescent="0.25"/>
    <row r="57" s="193" customFormat="1" ht="13.5" x14ac:dyDescent="0.25"/>
    <row r="58" s="193" customFormat="1" ht="13.5" x14ac:dyDescent="0.25"/>
    <row r="59" s="193" customFormat="1" ht="13.5" x14ac:dyDescent="0.25"/>
    <row r="60" s="193" customFormat="1" ht="13.5" x14ac:dyDescent="0.25"/>
    <row r="61" s="193" customFormat="1" ht="13.5" x14ac:dyDescent="0.25"/>
    <row r="62" s="193" customFormat="1" ht="13.5" x14ac:dyDescent="0.25"/>
    <row r="63" s="193" customFormat="1" ht="13.5" x14ac:dyDescent="0.25"/>
    <row r="64" s="193" customFormat="1" ht="13.5" x14ac:dyDescent="0.25"/>
    <row r="65" s="193" customFormat="1" ht="13.5" x14ac:dyDescent="0.25"/>
    <row r="66" s="193" customFormat="1" ht="13.5" x14ac:dyDescent="0.25"/>
    <row r="67" s="193" customFormat="1" ht="13.5" x14ac:dyDescent="0.25"/>
    <row r="68" s="193" customFormat="1" ht="13.5" x14ac:dyDescent="0.25"/>
    <row r="69" s="193" customFormat="1" ht="13.5" x14ac:dyDescent="0.25"/>
    <row r="70" s="193" customFormat="1" ht="13.5" x14ac:dyDescent="0.25"/>
    <row r="71" s="193" customFormat="1" ht="13.5" x14ac:dyDescent="0.25"/>
    <row r="72" s="193" customFormat="1" ht="13.5" x14ac:dyDescent="0.25"/>
    <row r="73" s="193" customFormat="1" ht="13.5" x14ac:dyDescent="0.25"/>
    <row r="74" s="193" customFormat="1" ht="13.5" x14ac:dyDescent="0.25"/>
    <row r="75" s="193" customFormat="1" ht="13.5" x14ac:dyDescent="0.25"/>
    <row r="76" s="193" customFormat="1" ht="13.5" x14ac:dyDescent="0.25"/>
    <row r="77" s="193" customFormat="1" ht="13.5" x14ac:dyDescent="0.25"/>
    <row r="78" s="193" customFormat="1" ht="13.5" x14ac:dyDescent="0.25"/>
    <row r="79" s="193" customFormat="1" ht="13.5" x14ac:dyDescent="0.25"/>
    <row r="80" s="193" customFormat="1" ht="13.5" x14ac:dyDescent="0.25"/>
    <row r="81" s="193" customFormat="1" ht="13.5" x14ac:dyDescent="0.25"/>
    <row r="82" s="193" customFormat="1" ht="13.5" x14ac:dyDescent="0.25"/>
    <row r="83" s="193" customFormat="1" ht="13.5" x14ac:dyDescent="0.25"/>
    <row r="84" s="193" customFormat="1" ht="13.5" x14ac:dyDescent="0.25"/>
    <row r="85" s="193" customFormat="1" ht="13.5" x14ac:dyDescent="0.25"/>
    <row r="86" s="193" customFormat="1" ht="13.5" x14ac:dyDescent="0.25"/>
    <row r="87" s="193" customFormat="1" ht="13.5" x14ac:dyDescent="0.25"/>
    <row r="88" s="193" customFormat="1" ht="13.5" x14ac:dyDescent="0.25"/>
    <row r="89" s="193" customFormat="1" ht="13.5" x14ac:dyDescent="0.25"/>
    <row r="90" s="193" customFormat="1" ht="13.5" x14ac:dyDescent="0.25"/>
    <row r="91" s="193" customFormat="1" ht="13.5" x14ac:dyDescent="0.25"/>
    <row r="92" s="193" customFormat="1" ht="13.5" x14ac:dyDescent="0.25"/>
    <row r="93" s="193" customFormat="1" ht="13.5" x14ac:dyDescent="0.25"/>
    <row r="94" s="193" customFormat="1" ht="13.5" x14ac:dyDescent="0.25"/>
    <row r="95" s="193" customFormat="1" ht="13.5" x14ac:dyDescent="0.25"/>
    <row r="96" s="193" customFormat="1" ht="13.5" x14ac:dyDescent="0.25"/>
    <row r="97" s="193" customFormat="1" ht="13.5" x14ac:dyDescent="0.25"/>
    <row r="98" s="193" customFormat="1" ht="13.5" x14ac:dyDescent="0.25"/>
    <row r="99" s="193" customFormat="1" ht="13.5" x14ac:dyDescent="0.25"/>
    <row r="100" s="193" customFormat="1" ht="13.5" x14ac:dyDescent="0.25"/>
    <row r="101" s="193" customFormat="1" ht="13.5" x14ac:dyDescent="0.25"/>
    <row r="102" s="193" customFormat="1" ht="13.5" x14ac:dyDescent="0.25"/>
    <row r="103" s="193" customFormat="1" ht="13.5" x14ac:dyDescent="0.25"/>
    <row r="104" s="193" customFormat="1" ht="13.5" x14ac:dyDescent="0.25"/>
    <row r="105" s="193" customFormat="1" ht="13.5" x14ac:dyDescent="0.25"/>
    <row r="106" s="193" customFormat="1" ht="13.5" x14ac:dyDescent="0.25"/>
    <row r="107" s="193" customFormat="1" ht="13.5" x14ac:dyDescent="0.25"/>
    <row r="108" s="193" customFormat="1" ht="13.5" x14ac:dyDescent="0.25"/>
    <row r="109" s="193" customFormat="1" ht="13.5" x14ac:dyDescent="0.25"/>
    <row r="110" s="193" customFormat="1" ht="13.5" x14ac:dyDescent="0.25"/>
    <row r="111" s="193" customFormat="1" ht="13.5" x14ac:dyDescent="0.25"/>
    <row r="112" s="193" customFormat="1" ht="13.5" x14ac:dyDescent="0.25"/>
    <row r="113" s="193" customFormat="1" ht="13.5" x14ac:dyDescent="0.25"/>
    <row r="114" s="193" customFormat="1" ht="13.5" x14ac:dyDescent="0.25"/>
    <row r="115" s="193" customFormat="1" ht="13.5" x14ac:dyDescent="0.25"/>
    <row r="116" s="193" customFormat="1" ht="13.5" x14ac:dyDescent="0.25"/>
    <row r="117" s="193" customFormat="1" ht="13.5" x14ac:dyDescent="0.25"/>
    <row r="118" s="193" customFormat="1" ht="13.5" x14ac:dyDescent="0.25"/>
    <row r="119" s="193" customFormat="1" ht="13.5" x14ac:dyDescent="0.25"/>
    <row r="120" s="193" customFormat="1" ht="13.5" x14ac:dyDescent="0.25"/>
    <row r="121" s="193" customFormat="1" ht="13.5" x14ac:dyDescent="0.25"/>
    <row r="122" s="193" customFormat="1" ht="13.5" x14ac:dyDescent="0.25"/>
    <row r="123" s="193" customFormat="1" ht="13.5" x14ac:dyDescent="0.25"/>
    <row r="124" s="193" customFormat="1" ht="13.5" x14ac:dyDescent="0.25"/>
    <row r="125" s="193" customFormat="1" ht="13.5" x14ac:dyDescent="0.25"/>
    <row r="126" s="193" customFormat="1" ht="13.5" x14ac:dyDescent="0.25"/>
    <row r="127" s="193" customFormat="1" ht="13.5" x14ac:dyDescent="0.25"/>
    <row r="128" s="193" customFormat="1" ht="13.5" x14ac:dyDescent="0.25"/>
    <row r="129" s="193" customFormat="1" ht="13.5" x14ac:dyDescent="0.25"/>
    <row r="130" s="193" customFormat="1" ht="13.5" x14ac:dyDescent="0.25"/>
    <row r="131" s="193" customFormat="1" ht="13.5" x14ac:dyDescent="0.25"/>
    <row r="132" s="193" customFormat="1" ht="13.5" x14ac:dyDescent="0.25"/>
    <row r="133" s="193" customFormat="1" ht="13.5" x14ac:dyDescent="0.25"/>
    <row r="134" s="193" customFormat="1" ht="13.5" x14ac:dyDescent="0.25"/>
    <row r="135" s="193" customFormat="1" ht="13.5" x14ac:dyDescent="0.25"/>
    <row r="136" s="193" customFormat="1" ht="13.5" x14ac:dyDescent="0.25"/>
    <row r="137" s="193" customFormat="1" ht="13.5" x14ac:dyDescent="0.25"/>
    <row r="138" s="193" customFormat="1" ht="13.5" x14ac:dyDescent="0.25"/>
    <row r="139" s="193" customFormat="1" ht="13.5" x14ac:dyDescent="0.25"/>
    <row r="140" s="193" customFormat="1" ht="13.5" x14ac:dyDescent="0.25"/>
    <row r="141" s="193" customFormat="1" ht="13.5" x14ac:dyDescent="0.25"/>
    <row r="142" s="193" customFormat="1" ht="13.5" x14ac:dyDescent="0.25"/>
    <row r="143" s="193" customFormat="1" ht="13.5" x14ac:dyDescent="0.25"/>
    <row r="144" s="193" customFormat="1" ht="13.5" x14ac:dyDescent="0.25"/>
    <row r="145" s="193" customFormat="1" ht="13.5" x14ac:dyDescent="0.25"/>
    <row r="146" s="193" customFormat="1" ht="13.5" x14ac:dyDescent="0.25"/>
    <row r="147" s="193" customFormat="1" ht="13.5" x14ac:dyDescent="0.25"/>
    <row r="148" s="193" customFormat="1" ht="13.5" x14ac:dyDescent="0.25"/>
    <row r="149" s="193" customFormat="1" ht="13.5" x14ac:dyDescent="0.25"/>
    <row r="150" s="193" customFormat="1" ht="13.5" x14ac:dyDescent="0.25"/>
    <row r="151" s="193" customFormat="1" ht="13.5" x14ac:dyDescent="0.25"/>
    <row r="152" s="193" customFormat="1" ht="13.5" x14ac:dyDescent="0.25"/>
    <row r="153" s="193" customFormat="1" ht="13.5" x14ac:dyDescent="0.25"/>
    <row r="154" s="193" customFormat="1" ht="13.5" x14ac:dyDescent="0.25"/>
    <row r="155" s="193" customFormat="1" ht="13.5" x14ac:dyDescent="0.25"/>
    <row r="156" s="193" customFormat="1" ht="13.5" x14ac:dyDescent="0.25"/>
    <row r="157" s="193" customFormat="1" ht="13.5" x14ac:dyDescent="0.25"/>
    <row r="158" s="193" customFormat="1" ht="13.5" x14ac:dyDescent="0.25"/>
    <row r="159" s="193" customFormat="1" ht="13.5" x14ac:dyDescent="0.25"/>
    <row r="160" s="193" customFormat="1" ht="13.5" x14ac:dyDescent="0.25"/>
    <row r="161" s="193" customFormat="1" ht="13.5" x14ac:dyDescent="0.25"/>
    <row r="162" s="193" customFormat="1" ht="13.5" x14ac:dyDescent="0.25"/>
    <row r="163" s="193" customFormat="1" ht="13.5" x14ac:dyDescent="0.25"/>
    <row r="164" s="193" customFormat="1" ht="13.5" x14ac:dyDescent="0.25"/>
    <row r="165" s="193" customFormat="1" ht="13.5" x14ac:dyDescent="0.25"/>
    <row r="166" s="193" customFormat="1" ht="13.5" x14ac:dyDescent="0.25"/>
    <row r="167" s="193" customFormat="1" ht="13.5" x14ac:dyDescent="0.25"/>
    <row r="168" s="193" customFormat="1" ht="13.5" x14ac:dyDescent="0.25"/>
    <row r="169" s="193" customFormat="1" ht="13.5" x14ac:dyDescent="0.25"/>
    <row r="170" s="193" customFormat="1" ht="13.5" x14ac:dyDescent="0.25"/>
    <row r="171" s="193" customFormat="1" ht="13.5" x14ac:dyDescent="0.25"/>
    <row r="172" s="193" customFormat="1" ht="13.5" x14ac:dyDescent="0.25"/>
    <row r="173" s="193" customFormat="1" ht="13.5" x14ac:dyDescent="0.25"/>
    <row r="174" s="193" customFormat="1" ht="13.5" x14ac:dyDescent="0.25"/>
    <row r="175" s="193" customFormat="1" ht="13.5" x14ac:dyDescent="0.25"/>
    <row r="176" s="193" customFormat="1" ht="13.5" x14ac:dyDescent="0.25"/>
    <row r="177" s="193" customFormat="1" ht="13.5" x14ac:dyDescent="0.25"/>
    <row r="178" s="193" customFormat="1" ht="13.5" x14ac:dyDescent="0.25"/>
    <row r="179" s="193" customFormat="1" ht="13.5" x14ac:dyDescent="0.25"/>
    <row r="180" s="193" customFormat="1" ht="13.5" x14ac:dyDescent="0.25"/>
    <row r="181" s="193" customFormat="1" ht="13.5" x14ac:dyDescent="0.25"/>
    <row r="182" s="193" customFormat="1" ht="13.5" x14ac:dyDescent="0.25"/>
    <row r="183" s="193" customFormat="1" ht="13.5" x14ac:dyDescent="0.25"/>
    <row r="184" s="193" customFormat="1" ht="13.5" x14ac:dyDescent="0.25"/>
    <row r="185" s="193" customFormat="1" ht="13.5" x14ac:dyDescent="0.25"/>
    <row r="186" s="193" customFormat="1" ht="13.5" x14ac:dyDescent="0.25"/>
    <row r="187" s="193" customFormat="1" ht="13.5" x14ac:dyDescent="0.25"/>
    <row r="188" s="193" customFormat="1" ht="13.5" x14ac:dyDescent="0.25"/>
    <row r="189" s="193" customFormat="1" ht="13.5" x14ac:dyDescent="0.25"/>
    <row r="190" s="193" customFormat="1" ht="13.5" x14ac:dyDescent="0.25"/>
    <row r="191" s="193" customFormat="1" ht="13.5" x14ac:dyDescent="0.25"/>
    <row r="192" s="193" customFormat="1" ht="13.5" x14ac:dyDescent="0.25"/>
    <row r="193" s="193" customFormat="1" ht="13.5" x14ac:dyDescent="0.25"/>
    <row r="194" s="193" customFormat="1" ht="13.5" x14ac:dyDescent="0.25"/>
    <row r="195" s="193" customFormat="1" ht="13.5" x14ac:dyDescent="0.25"/>
    <row r="196" s="193" customFormat="1" ht="13.5" x14ac:dyDescent="0.25"/>
    <row r="197" s="193" customFormat="1" ht="13.5" x14ac:dyDescent="0.25"/>
    <row r="198" s="193" customFormat="1" ht="13.5" x14ac:dyDescent="0.25"/>
    <row r="199" s="193" customFormat="1" ht="13.5" x14ac:dyDescent="0.25"/>
    <row r="200" s="193" customFormat="1" ht="13.5" x14ac:dyDescent="0.25"/>
    <row r="201" s="193" customFormat="1" ht="13.5" x14ac:dyDescent="0.25"/>
    <row r="202" s="193" customFormat="1" ht="13.5" x14ac:dyDescent="0.25"/>
    <row r="203" s="193" customFormat="1" ht="13.5" x14ac:dyDescent="0.25"/>
    <row r="204" s="193" customFormat="1" ht="13.5" x14ac:dyDescent="0.25"/>
    <row r="205" s="193" customFormat="1" ht="13.5" x14ac:dyDescent="0.25"/>
    <row r="206" s="193" customFormat="1" ht="13.5" x14ac:dyDescent="0.25"/>
    <row r="207" s="193" customFormat="1" ht="13.5" x14ac:dyDescent="0.25"/>
    <row r="208" s="193" customFormat="1" ht="13.5" x14ac:dyDescent="0.25"/>
    <row r="209" s="193" customFormat="1" ht="13.5" x14ac:dyDescent="0.25"/>
    <row r="210" s="193" customFormat="1" ht="13.5" x14ac:dyDescent="0.25"/>
    <row r="211" s="193" customFormat="1" ht="13.5" x14ac:dyDescent="0.25"/>
    <row r="212" s="193" customFormat="1" ht="13.5" x14ac:dyDescent="0.25"/>
    <row r="213" s="193" customFormat="1" ht="13.5" x14ac:dyDescent="0.25"/>
    <row r="214" s="193" customFormat="1" ht="13.5" x14ac:dyDescent="0.25"/>
    <row r="215" s="193" customFormat="1" ht="13.5" x14ac:dyDescent="0.25"/>
    <row r="216" s="193" customFormat="1" ht="13.5" x14ac:dyDescent="0.25"/>
    <row r="217" s="193" customFormat="1" ht="13.5" x14ac:dyDescent="0.25"/>
    <row r="218" s="193" customFormat="1" ht="13.5" x14ac:dyDescent="0.25"/>
    <row r="219" s="193" customFormat="1" ht="13.5" x14ac:dyDescent="0.25"/>
    <row r="220" s="193" customFormat="1" ht="13.5" x14ac:dyDescent="0.25"/>
    <row r="221" s="193" customFormat="1" ht="13.5" x14ac:dyDescent="0.25"/>
    <row r="222" s="193" customFormat="1" ht="13.5" x14ac:dyDescent="0.25"/>
    <row r="223" s="193" customFormat="1" ht="13.5" x14ac:dyDescent="0.25"/>
    <row r="224" s="193" customFormat="1" ht="13.5" x14ac:dyDescent="0.25"/>
    <row r="225" s="193" customFormat="1" ht="13.5" x14ac:dyDescent="0.25"/>
    <row r="226" s="193" customFormat="1" ht="13.5" x14ac:dyDescent="0.25"/>
    <row r="227" s="193" customFormat="1" ht="13.5" x14ac:dyDescent="0.25"/>
    <row r="228" s="193" customFormat="1" ht="13.5" x14ac:dyDescent="0.25"/>
    <row r="229" s="193" customFormat="1" ht="13.5" x14ac:dyDescent="0.25"/>
    <row r="230" s="193" customFormat="1" ht="13.5" x14ac:dyDescent="0.25"/>
    <row r="231" s="193" customFormat="1" ht="13.5" x14ac:dyDescent="0.25"/>
    <row r="232" s="193" customFormat="1" ht="13.5" x14ac:dyDescent="0.25"/>
    <row r="233" s="193" customFormat="1" ht="13.5" x14ac:dyDescent="0.25"/>
    <row r="234" s="193" customFormat="1" ht="13.5" x14ac:dyDescent="0.25"/>
    <row r="235" s="193" customFormat="1" ht="13.5" x14ac:dyDescent="0.25"/>
    <row r="236" s="193" customFormat="1" ht="13.5" x14ac:dyDescent="0.25"/>
    <row r="237" s="193" customFormat="1" ht="13.5" x14ac:dyDescent="0.25"/>
    <row r="238" s="193" customFormat="1" ht="13.5" x14ac:dyDescent="0.25"/>
    <row r="239" s="193" customFormat="1" ht="13.5" x14ac:dyDescent="0.25"/>
    <row r="240" s="193" customFormat="1" ht="13.5" x14ac:dyDescent="0.25"/>
    <row r="241" s="193" customFormat="1" ht="13.5" x14ac:dyDescent="0.25"/>
    <row r="242" s="193" customFormat="1" ht="13.5" x14ac:dyDescent="0.25"/>
    <row r="243" s="193" customFormat="1" ht="13.5" x14ac:dyDescent="0.25"/>
    <row r="244" s="193" customFormat="1" ht="13.5" x14ac:dyDescent="0.25"/>
    <row r="245" s="193" customFormat="1" ht="13.5" x14ac:dyDescent="0.25"/>
    <row r="246" s="193" customFormat="1" ht="13.5" x14ac:dyDescent="0.25"/>
    <row r="247" s="193" customFormat="1" ht="13.5" x14ac:dyDescent="0.25"/>
    <row r="248" s="193" customFormat="1" ht="13.5" x14ac:dyDescent="0.25"/>
    <row r="249" s="193" customFormat="1" ht="13.5" x14ac:dyDescent="0.25"/>
    <row r="250" s="193" customFormat="1" ht="13.5" x14ac:dyDescent="0.25"/>
    <row r="251" s="193" customFormat="1" ht="13.5" x14ac:dyDescent="0.25"/>
    <row r="252" s="193" customFormat="1" ht="13.5" x14ac:dyDescent="0.25"/>
    <row r="253" s="193" customFormat="1" ht="13.5" x14ac:dyDescent="0.25"/>
    <row r="254" s="193" customFormat="1" ht="13.5" x14ac:dyDescent="0.25"/>
    <row r="255" s="193" customFormat="1" ht="13.5" x14ac:dyDescent="0.25"/>
    <row r="256" s="193" customFormat="1" ht="13.5" x14ac:dyDescent="0.25"/>
    <row r="257" s="193" customFormat="1" ht="13.5" x14ac:dyDescent="0.25"/>
    <row r="258" s="193" customFormat="1" ht="13.5" x14ac:dyDescent="0.25"/>
    <row r="259" s="193" customFormat="1" ht="13.5" x14ac:dyDescent="0.25"/>
    <row r="260" s="193" customFormat="1" ht="13.5" x14ac:dyDescent="0.25"/>
    <row r="261" s="193" customFormat="1" ht="13.5" x14ac:dyDescent="0.25"/>
    <row r="262" s="193" customFormat="1" ht="13.5" x14ac:dyDescent="0.25"/>
    <row r="263" s="193" customFormat="1" ht="13.5" x14ac:dyDescent="0.25"/>
    <row r="264" s="193" customFormat="1" ht="13.5" x14ac:dyDescent="0.25"/>
    <row r="265" s="193" customFormat="1" ht="13.5" x14ac:dyDescent="0.25"/>
    <row r="266" s="193" customFormat="1" ht="13.5" x14ac:dyDescent="0.25"/>
    <row r="267" s="193" customFormat="1" ht="13.5" x14ac:dyDescent="0.25"/>
    <row r="268" s="193" customFormat="1" ht="13.5" x14ac:dyDescent="0.25"/>
    <row r="269" s="193" customFormat="1" ht="13.5" x14ac:dyDescent="0.25"/>
    <row r="270" s="193" customFormat="1" ht="13.5" x14ac:dyDescent="0.25"/>
    <row r="271" s="193" customFormat="1" ht="13.5" x14ac:dyDescent="0.25"/>
    <row r="272" s="193" customFormat="1" ht="13.5" x14ac:dyDescent="0.25"/>
    <row r="273" s="193" customFormat="1" ht="13.5" x14ac:dyDescent="0.25"/>
    <row r="274" s="193" customFormat="1" ht="13.5" x14ac:dyDescent="0.25"/>
    <row r="275" s="193" customFormat="1" ht="13.5" x14ac:dyDescent="0.25"/>
    <row r="276" s="193" customFormat="1" ht="13.5" x14ac:dyDescent="0.25"/>
    <row r="277" s="193" customFormat="1" ht="13.5" x14ac:dyDescent="0.25"/>
    <row r="278" s="193" customFormat="1" ht="13.5" x14ac:dyDescent="0.25"/>
    <row r="279" s="193" customFormat="1" ht="13.5" x14ac:dyDescent="0.25"/>
    <row r="280" s="193" customFormat="1" ht="13.5" x14ac:dyDescent="0.25"/>
    <row r="281" s="193" customFormat="1" ht="13.5" x14ac:dyDescent="0.25"/>
    <row r="282" s="193" customFormat="1" ht="13.5" x14ac:dyDescent="0.25"/>
    <row r="283" s="193" customFormat="1" ht="13.5" x14ac:dyDescent="0.25"/>
    <row r="284" s="193" customFormat="1" ht="13.5" x14ac:dyDescent="0.25"/>
    <row r="285" s="193" customFormat="1" ht="13.5" x14ac:dyDescent="0.25"/>
    <row r="286" s="193" customFormat="1" ht="13.5" x14ac:dyDescent="0.25"/>
    <row r="287" s="193" customFormat="1" ht="13.5" x14ac:dyDescent="0.25"/>
    <row r="288" s="193" customFormat="1" ht="13.5" x14ac:dyDescent="0.25"/>
    <row r="289" s="193" customFormat="1" ht="13.5" x14ac:dyDescent="0.25"/>
    <row r="290" s="193" customFormat="1" ht="13.5" x14ac:dyDescent="0.25"/>
    <row r="291" s="193" customFormat="1" ht="13.5" x14ac:dyDescent="0.25"/>
    <row r="292" s="193" customFormat="1" ht="13.5" x14ac:dyDescent="0.25"/>
    <row r="293" s="193" customFormat="1" ht="13.5" x14ac:dyDescent="0.25"/>
    <row r="294" s="193" customFormat="1" ht="13.5" x14ac:dyDescent="0.25"/>
    <row r="295" s="193" customFormat="1" ht="13.5" x14ac:dyDescent="0.25"/>
    <row r="296" s="193" customFormat="1" ht="13.5" x14ac:dyDescent="0.25"/>
    <row r="297" s="193" customFormat="1" ht="13.5" x14ac:dyDescent="0.25"/>
    <row r="298" s="193" customFormat="1" ht="13.5" x14ac:dyDescent="0.25"/>
    <row r="299" s="193" customFormat="1" ht="13.5" x14ac:dyDescent="0.25"/>
    <row r="300" s="193" customFormat="1" ht="13.5" x14ac:dyDescent="0.25"/>
    <row r="301" s="193" customFormat="1" ht="13.5" x14ac:dyDescent="0.25"/>
    <row r="302" s="193" customFormat="1" ht="13.5" x14ac:dyDescent="0.25"/>
    <row r="303" s="193" customFormat="1" ht="13.5" x14ac:dyDescent="0.25"/>
    <row r="304" s="193" customFormat="1" ht="13.5" x14ac:dyDescent="0.25"/>
    <row r="305" s="193" customFormat="1" ht="13.5" x14ac:dyDescent="0.25"/>
    <row r="306" s="193" customFormat="1" ht="13.5" x14ac:dyDescent="0.25"/>
    <row r="307" s="193" customFormat="1" ht="13.5" x14ac:dyDescent="0.25"/>
    <row r="308" s="193" customFormat="1" ht="13.5" x14ac:dyDescent="0.25"/>
    <row r="309" s="193" customFormat="1" ht="13.5" x14ac:dyDescent="0.25"/>
    <row r="310" s="193" customFormat="1" ht="13.5" x14ac:dyDescent="0.25"/>
    <row r="311" s="193" customFormat="1" ht="13.5" x14ac:dyDescent="0.25"/>
    <row r="312" s="193" customFormat="1" ht="13.5" x14ac:dyDescent="0.25"/>
    <row r="313" s="193" customFormat="1" ht="13.5" x14ac:dyDescent="0.25"/>
    <row r="314" s="193" customFormat="1" ht="13.5" x14ac:dyDescent="0.25"/>
    <row r="315" s="193" customFormat="1" ht="13.5" x14ac:dyDescent="0.25"/>
    <row r="316" s="193" customFormat="1" ht="13.5" x14ac:dyDescent="0.25"/>
    <row r="317" s="193" customFormat="1" ht="13.5" x14ac:dyDescent="0.25"/>
    <row r="318" s="193" customFormat="1" ht="13.5" x14ac:dyDescent="0.25"/>
    <row r="319" s="193" customFormat="1" ht="13.5" x14ac:dyDescent="0.25"/>
  </sheetData>
  <mergeCells count="4">
    <mergeCell ref="A3:B3"/>
    <mergeCell ref="C3:C4"/>
    <mergeCell ref="D3:D4"/>
    <mergeCell ref="A1:D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727B4-B94C-42B5-8E57-2260F389193F}">
  <dimension ref="A1:D320"/>
  <sheetViews>
    <sheetView showGridLines="0" showRowColHeaders="0" zoomScaleNormal="100" workbookViewId="0">
      <selection activeCell="F10" sqref="F10"/>
    </sheetView>
  </sheetViews>
  <sheetFormatPr defaultColWidth="8.7109375" defaultRowHeight="12.75" x14ac:dyDescent="0.2"/>
  <cols>
    <col min="1" max="2" width="6.42578125" style="191" customWidth="1"/>
    <col min="3" max="3" width="55.42578125" style="191" customWidth="1"/>
    <col min="4" max="4" width="7.28515625" style="191" customWidth="1"/>
    <col min="5" max="16384" width="8.7109375" style="191"/>
  </cols>
  <sheetData>
    <row r="1" spans="1:4" ht="38.1" customHeight="1" x14ac:dyDescent="0.2">
      <c r="A1" s="489" t="s">
        <v>1653</v>
      </c>
      <c r="B1" s="489"/>
      <c r="C1" s="489"/>
      <c r="D1" s="489"/>
    </row>
    <row r="2" spans="1:4" s="193" customFormat="1" ht="13.5" x14ac:dyDescent="0.25"/>
    <row r="3" spans="1:4" s="193" customFormat="1" ht="13.5" x14ac:dyDescent="0.25">
      <c r="A3" s="501" t="s">
        <v>363</v>
      </c>
      <c r="B3" s="501"/>
      <c r="C3" s="497" t="s">
        <v>1448</v>
      </c>
      <c r="D3" s="497" t="s">
        <v>1449</v>
      </c>
    </row>
    <row r="4" spans="1:4" s="193" customFormat="1" ht="13.5" x14ac:dyDescent="0.25">
      <c r="A4" s="221" t="s">
        <v>367</v>
      </c>
      <c r="B4" s="221" t="s">
        <v>368</v>
      </c>
      <c r="C4" s="498"/>
      <c r="D4" s="498"/>
    </row>
    <row r="5" spans="1:4" s="193" customFormat="1" ht="13.5" x14ac:dyDescent="0.25">
      <c r="A5" s="224"/>
      <c r="B5" s="224"/>
      <c r="C5" s="214" t="s">
        <v>1654</v>
      </c>
      <c r="D5" s="224"/>
    </row>
    <row r="6" spans="1:4" s="193" customFormat="1" ht="13.5" x14ac:dyDescent="0.25">
      <c r="A6" s="224"/>
      <c r="B6" s="224"/>
      <c r="C6" s="214" t="s">
        <v>1655</v>
      </c>
      <c r="D6" s="224"/>
    </row>
    <row r="7" spans="1:4" s="193" customFormat="1" ht="27" x14ac:dyDescent="0.25">
      <c r="A7" s="224"/>
      <c r="B7" s="224"/>
      <c r="C7" s="215" t="s">
        <v>1656</v>
      </c>
      <c r="D7" s="224"/>
    </row>
    <row r="8" spans="1:4" s="193" customFormat="1" ht="13.5" x14ac:dyDescent="0.25">
      <c r="A8" s="217">
        <v>52175</v>
      </c>
      <c r="B8" s="217" t="s">
        <v>926</v>
      </c>
      <c r="C8" s="215" t="s">
        <v>1657</v>
      </c>
      <c r="D8" s="227">
        <v>7.5</v>
      </c>
    </row>
    <row r="9" spans="1:4" s="193" customFormat="1" ht="13.5" x14ac:dyDescent="0.25">
      <c r="A9" s="217">
        <v>52071</v>
      </c>
      <c r="B9" s="217" t="s">
        <v>1454</v>
      </c>
      <c r="C9" s="215" t="s">
        <v>1658</v>
      </c>
      <c r="D9" s="227" t="s">
        <v>1456</v>
      </c>
    </row>
    <row r="10" spans="1:4" s="193" customFormat="1" ht="13.5" x14ac:dyDescent="0.25">
      <c r="A10" s="217">
        <v>50115</v>
      </c>
      <c r="B10" s="217" t="s">
        <v>1454</v>
      </c>
      <c r="C10" s="215" t="s">
        <v>1659</v>
      </c>
      <c r="D10" s="227" t="s">
        <v>1456</v>
      </c>
    </row>
    <row r="11" spans="1:4" s="193" customFormat="1" ht="13.5" x14ac:dyDescent="0.25">
      <c r="A11" s="217">
        <v>51120</v>
      </c>
      <c r="B11" s="217" t="s">
        <v>1454</v>
      </c>
      <c r="C11" s="215" t="s">
        <v>1660</v>
      </c>
      <c r="D11" s="227" t="s">
        <v>1456</v>
      </c>
    </row>
    <row r="12" spans="1:4" s="193" customFormat="1" ht="13.5" x14ac:dyDescent="0.25">
      <c r="A12" s="224"/>
      <c r="B12" s="224"/>
      <c r="C12" s="214" t="s">
        <v>1661</v>
      </c>
      <c r="D12" s="228"/>
    </row>
    <row r="13" spans="1:4" s="193" customFormat="1" ht="13.5" x14ac:dyDescent="0.25">
      <c r="A13" s="224"/>
      <c r="B13" s="224"/>
      <c r="C13" s="217" t="s">
        <v>1662</v>
      </c>
      <c r="D13" s="228"/>
    </row>
    <row r="14" spans="1:4" s="193" customFormat="1" ht="13.5" x14ac:dyDescent="0.25">
      <c r="A14" s="217">
        <v>52155</v>
      </c>
      <c r="B14" s="217" t="s">
        <v>1454</v>
      </c>
      <c r="C14" s="215" t="s">
        <v>1663</v>
      </c>
      <c r="D14" s="227" t="s">
        <v>1456</v>
      </c>
    </row>
    <row r="15" spans="1:4" s="193" customFormat="1" ht="13.5" x14ac:dyDescent="0.25">
      <c r="A15" s="217">
        <v>52210</v>
      </c>
      <c r="B15" s="217" t="s">
        <v>1454</v>
      </c>
      <c r="C15" s="215" t="s">
        <v>1664</v>
      </c>
      <c r="D15" s="227" t="s">
        <v>1456</v>
      </c>
    </row>
    <row r="16" spans="1:4" s="193" customFormat="1" ht="13.5" x14ac:dyDescent="0.25">
      <c r="A16" s="217">
        <v>52220</v>
      </c>
      <c r="B16" s="217" t="s">
        <v>1639</v>
      </c>
      <c r="C16" s="215" t="s">
        <v>1665</v>
      </c>
      <c r="D16" s="227">
        <v>32.270000000000003</v>
      </c>
    </row>
    <row r="17" spans="1:4" s="193" customFormat="1" ht="13.5" x14ac:dyDescent="0.25">
      <c r="A17" s="217">
        <v>52230</v>
      </c>
      <c r="B17" s="217" t="s">
        <v>1454</v>
      </c>
      <c r="C17" s="215" t="s">
        <v>1666</v>
      </c>
      <c r="D17" s="227" t="s">
        <v>1456</v>
      </c>
    </row>
    <row r="18" spans="1:4" s="193" customFormat="1" ht="13.5" x14ac:dyDescent="0.25">
      <c r="A18" s="224"/>
      <c r="B18" s="224"/>
      <c r="C18" s="214" t="s">
        <v>1667</v>
      </c>
      <c r="D18" s="228"/>
    </row>
    <row r="19" spans="1:4" s="193" customFormat="1" ht="13.5" x14ac:dyDescent="0.25">
      <c r="A19" s="217">
        <v>51280</v>
      </c>
      <c r="B19" s="217" t="s">
        <v>1570</v>
      </c>
      <c r="C19" s="215" t="s">
        <v>68</v>
      </c>
      <c r="D19" s="227">
        <v>5.09</v>
      </c>
    </row>
    <row r="20" spans="1:4" s="193" customFormat="1" ht="27" x14ac:dyDescent="0.25">
      <c r="A20" s="224"/>
      <c r="B20" s="255" t="s">
        <v>1668</v>
      </c>
      <c r="C20" s="256" t="s">
        <v>1669</v>
      </c>
      <c r="D20" s="257">
        <v>87.23</v>
      </c>
    </row>
    <row r="21" spans="1:4" s="193" customFormat="1" ht="13.5" x14ac:dyDescent="0.25">
      <c r="A21" s="224"/>
      <c r="B21" s="255" t="s">
        <v>1670</v>
      </c>
      <c r="C21" s="256" t="s">
        <v>1671</v>
      </c>
      <c r="D21" s="258"/>
    </row>
    <row r="22" spans="1:4" s="193" customFormat="1" ht="13.5" x14ac:dyDescent="0.25">
      <c r="A22" s="224"/>
      <c r="B22" s="255" t="s">
        <v>1672</v>
      </c>
      <c r="C22" s="256" t="s">
        <v>1673</v>
      </c>
      <c r="D22" s="258"/>
    </row>
    <row r="23" spans="1:4" s="193" customFormat="1" ht="13.5" x14ac:dyDescent="0.25">
      <c r="A23" s="224"/>
      <c r="B23" s="255" t="s">
        <v>976</v>
      </c>
      <c r="C23" s="256" t="s">
        <v>1674</v>
      </c>
      <c r="D23" s="258"/>
    </row>
    <row r="24" spans="1:4" s="193" customFormat="1" ht="13.5" x14ac:dyDescent="0.25">
      <c r="A24" s="224"/>
      <c r="B24" s="255" t="s">
        <v>978</v>
      </c>
      <c r="C24" s="256" t="s">
        <v>1675</v>
      </c>
      <c r="D24" s="258"/>
    </row>
    <row r="25" spans="1:4" s="193" customFormat="1" ht="13.5" x14ac:dyDescent="0.25">
      <c r="A25" s="224"/>
      <c r="B25" s="255" t="s">
        <v>729</v>
      </c>
      <c r="C25" s="256" t="s">
        <v>1663</v>
      </c>
      <c r="D25" s="258"/>
    </row>
    <row r="26" spans="1:4" s="193" customFormat="1" ht="13.5" x14ac:dyDescent="0.25">
      <c r="A26" s="224"/>
      <c r="B26" s="255" t="s">
        <v>1042</v>
      </c>
      <c r="C26" s="256" t="s">
        <v>1664</v>
      </c>
      <c r="D26" s="258"/>
    </row>
    <row r="27" spans="1:4" s="193" customFormat="1" ht="13.5" x14ac:dyDescent="0.25">
      <c r="A27" s="224"/>
      <c r="B27" s="255" t="s">
        <v>1676</v>
      </c>
      <c r="C27" s="256" t="s">
        <v>1660</v>
      </c>
      <c r="D27" s="258"/>
    </row>
    <row r="28" spans="1:4" s="193" customFormat="1" ht="40.5" x14ac:dyDescent="0.25">
      <c r="A28" s="224"/>
      <c r="B28" s="259"/>
      <c r="C28" s="256" t="s">
        <v>1677</v>
      </c>
      <c r="D28" s="258"/>
    </row>
    <row r="29" spans="1:4" s="193" customFormat="1" ht="13.5" x14ac:dyDescent="0.25">
      <c r="A29" s="224"/>
      <c r="B29" s="255" t="s">
        <v>905</v>
      </c>
      <c r="C29" s="256" t="s">
        <v>1678</v>
      </c>
      <c r="D29" s="257">
        <v>77.599999999999994</v>
      </c>
    </row>
    <row r="30" spans="1:4" s="193" customFormat="1" ht="13.5" x14ac:dyDescent="0.25">
      <c r="A30" s="217">
        <v>52125</v>
      </c>
      <c r="B30" s="217" t="s">
        <v>1595</v>
      </c>
      <c r="C30" s="215" t="s">
        <v>1679</v>
      </c>
      <c r="D30" s="227">
        <v>42.28</v>
      </c>
    </row>
    <row r="31" spans="1:4" s="193" customFormat="1" ht="13.5" x14ac:dyDescent="0.25">
      <c r="A31" s="217">
        <v>52130</v>
      </c>
      <c r="B31" s="217" t="s">
        <v>1568</v>
      </c>
      <c r="C31" s="215" t="s">
        <v>1680</v>
      </c>
      <c r="D31" s="227">
        <v>13.86</v>
      </c>
    </row>
    <row r="32" spans="1:4" s="193" customFormat="1" ht="13.5" x14ac:dyDescent="0.25">
      <c r="A32" s="219">
        <v>52270</v>
      </c>
      <c r="B32" s="219" t="s">
        <v>1589</v>
      </c>
      <c r="C32" s="225" t="s">
        <v>1681</v>
      </c>
      <c r="D32" s="229">
        <v>33.96</v>
      </c>
    </row>
    <row r="33" spans="1:4" s="193" customFormat="1" ht="13.5" x14ac:dyDescent="0.25">
      <c r="A33" s="213"/>
      <c r="B33" s="213"/>
      <c r="C33" s="223"/>
      <c r="D33" s="213"/>
    </row>
    <row r="34" spans="1:4" s="193" customFormat="1" ht="13.5" x14ac:dyDescent="0.25">
      <c r="A34" s="194" t="s">
        <v>1562</v>
      </c>
    </row>
    <row r="35" spans="1:4" s="193" customFormat="1" ht="13.5" x14ac:dyDescent="0.25">
      <c r="A35" s="194" t="s">
        <v>1682</v>
      </c>
    </row>
    <row r="36" spans="1:4" s="193" customFormat="1" ht="13.5" x14ac:dyDescent="0.25"/>
    <row r="37" spans="1:4" s="193" customFormat="1" ht="13.5" x14ac:dyDescent="0.25"/>
    <row r="38" spans="1:4" s="193" customFormat="1" ht="13.5" x14ac:dyDescent="0.25"/>
    <row r="39" spans="1:4" s="193" customFormat="1" ht="13.5" x14ac:dyDescent="0.25"/>
    <row r="40" spans="1:4" s="193" customFormat="1" ht="13.5" x14ac:dyDescent="0.25"/>
    <row r="41" spans="1:4" s="193" customFormat="1" ht="13.5" x14ac:dyDescent="0.25"/>
    <row r="42" spans="1:4" s="193" customFormat="1" ht="13.5" x14ac:dyDescent="0.25"/>
    <row r="43" spans="1:4" s="193" customFormat="1" ht="13.5" x14ac:dyDescent="0.25"/>
    <row r="44" spans="1:4" s="193" customFormat="1" ht="13.5" x14ac:dyDescent="0.25"/>
    <row r="45" spans="1:4" s="193" customFormat="1" ht="13.5" x14ac:dyDescent="0.25"/>
    <row r="46" spans="1:4" s="193" customFormat="1" ht="13.5" x14ac:dyDescent="0.25"/>
    <row r="47" spans="1:4" s="193" customFormat="1" ht="13.5" x14ac:dyDescent="0.25"/>
    <row r="48" spans="1:4" s="193" customFormat="1" ht="13.5" x14ac:dyDescent="0.25"/>
    <row r="49" s="193" customFormat="1" ht="13.5" x14ac:dyDescent="0.25"/>
    <row r="50" s="193" customFormat="1" ht="13.5" x14ac:dyDescent="0.25"/>
    <row r="51" s="193" customFormat="1" ht="13.5" x14ac:dyDescent="0.25"/>
    <row r="52" s="193" customFormat="1" ht="13.5" x14ac:dyDescent="0.25"/>
    <row r="53" s="193" customFormat="1" ht="13.5" x14ac:dyDescent="0.25"/>
    <row r="54" s="193" customFormat="1" ht="13.5" x14ac:dyDescent="0.25"/>
    <row r="55" s="193" customFormat="1" ht="13.5" x14ac:dyDescent="0.25"/>
    <row r="56" s="193" customFormat="1" ht="13.5" x14ac:dyDescent="0.25"/>
    <row r="57" s="193" customFormat="1" ht="13.5" x14ac:dyDescent="0.25"/>
    <row r="58" s="193" customFormat="1" ht="13.5" x14ac:dyDescent="0.25"/>
    <row r="59" s="193" customFormat="1" ht="13.5" x14ac:dyDescent="0.25"/>
    <row r="60" s="193" customFormat="1" ht="13.5" x14ac:dyDescent="0.25"/>
    <row r="61" s="193" customFormat="1" ht="13.5" x14ac:dyDescent="0.25"/>
    <row r="62" s="193" customFormat="1" ht="13.5" x14ac:dyDescent="0.25"/>
    <row r="63" s="193" customFormat="1" ht="13.5" x14ac:dyDescent="0.25"/>
    <row r="64" s="193" customFormat="1" ht="13.5" x14ac:dyDescent="0.25"/>
    <row r="65" s="193" customFormat="1" ht="13.5" x14ac:dyDescent="0.25"/>
    <row r="66" s="193" customFormat="1" ht="13.5" x14ac:dyDescent="0.25"/>
    <row r="67" s="193" customFormat="1" ht="13.5" x14ac:dyDescent="0.25"/>
    <row r="68" s="193" customFormat="1" ht="13.5" x14ac:dyDescent="0.25"/>
    <row r="69" s="193" customFormat="1" ht="13.5" x14ac:dyDescent="0.25"/>
    <row r="70" s="193" customFormat="1" ht="13.5" x14ac:dyDescent="0.25"/>
    <row r="71" s="193" customFormat="1" ht="13.5" x14ac:dyDescent="0.25"/>
    <row r="72" s="193" customFormat="1" ht="13.5" x14ac:dyDescent="0.25"/>
    <row r="73" s="193" customFormat="1" ht="13.5" x14ac:dyDescent="0.25"/>
    <row r="74" s="193" customFormat="1" ht="13.5" x14ac:dyDescent="0.25"/>
    <row r="75" s="193" customFormat="1" ht="13.5" x14ac:dyDescent="0.25"/>
    <row r="76" s="193" customFormat="1" ht="13.5" x14ac:dyDescent="0.25"/>
    <row r="77" s="193" customFormat="1" ht="13.5" x14ac:dyDescent="0.25"/>
    <row r="78" s="193" customFormat="1" ht="13.5" x14ac:dyDescent="0.25"/>
    <row r="79" s="193" customFormat="1" ht="13.5" x14ac:dyDescent="0.25"/>
    <row r="80" s="193" customFormat="1" ht="13.5" x14ac:dyDescent="0.25"/>
    <row r="81" s="193" customFormat="1" ht="13.5" x14ac:dyDescent="0.25"/>
    <row r="82" s="193" customFormat="1" ht="13.5" x14ac:dyDescent="0.25"/>
    <row r="83" s="193" customFormat="1" ht="13.5" x14ac:dyDescent="0.25"/>
    <row r="84" s="193" customFormat="1" ht="13.5" x14ac:dyDescent="0.25"/>
    <row r="85" s="193" customFormat="1" ht="13.5" x14ac:dyDescent="0.25"/>
    <row r="86" s="193" customFormat="1" ht="13.5" x14ac:dyDescent="0.25"/>
    <row r="87" s="193" customFormat="1" ht="13.5" x14ac:dyDescent="0.25"/>
    <row r="88" s="193" customFormat="1" ht="13.5" x14ac:dyDescent="0.25"/>
    <row r="89" s="193" customFormat="1" ht="13.5" x14ac:dyDescent="0.25"/>
    <row r="90" s="193" customFormat="1" ht="13.5" x14ac:dyDescent="0.25"/>
    <row r="91" s="193" customFormat="1" ht="13.5" x14ac:dyDescent="0.25"/>
    <row r="92" s="193" customFormat="1" ht="13.5" x14ac:dyDescent="0.25"/>
    <row r="93" s="193" customFormat="1" ht="13.5" x14ac:dyDescent="0.25"/>
    <row r="94" s="193" customFormat="1" ht="13.5" x14ac:dyDescent="0.25"/>
    <row r="95" s="193" customFormat="1" ht="13.5" x14ac:dyDescent="0.25"/>
    <row r="96" s="193" customFormat="1" ht="13.5" x14ac:dyDescent="0.25"/>
    <row r="97" s="193" customFormat="1" ht="13.5" x14ac:dyDescent="0.25"/>
    <row r="98" s="193" customFormat="1" ht="13.5" x14ac:dyDescent="0.25"/>
    <row r="99" s="193" customFormat="1" ht="13.5" x14ac:dyDescent="0.25"/>
    <row r="100" s="193" customFormat="1" ht="13.5" x14ac:dyDescent="0.25"/>
    <row r="101" s="193" customFormat="1" ht="13.5" x14ac:dyDescent="0.25"/>
    <row r="102" s="193" customFormat="1" ht="13.5" x14ac:dyDescent="0.25"/>
    <row r="103" s="193" customFormat="1" ht="13.5" x14ac:dyDescent="0.25"/>
    <row r="104" s="193" customFormat="1" ht="13.5" x14ac:dyDescent="0.25"/>
    <row r="105" s="193" customFormat="1" ht="13.5" x14ac:dyDescent="0.25"/>
    <row r="106" s="193" customFormat="1" ht="13.5" x14ac:dyDescent="0.25"/>
    <row r="107" s="193" customFormat="1" ht="13.5" x14ac:dyDescent="0.25"/>
    <row r="108" s="193" customFormat="1" ht="13.5" x14ac:dyDescent="0.25"/>
    <row r="109" s="193" customFormat="1" ht="13.5" x14ac:dyDescent="0.25"/>
    <row r="110" s="193" customFormat="1" ht="13.5" x14ac:dyDescent="0.25"/>
    <row r="111" s="193" customFormat="1" ht="13.5" x14ac:dyDescent="0.25"/>
    <row r="112" s="193" customFormat="1" ht="13.5" x14ac:dyDescent="0.25"/>
    <row r="113" s="193" customFormat="1" ht="13.5" x14ac:dyDescent="0.25"/>
    <row r="114" s="193" customFormat="1" ht="13.5" x14ac:dyDescent="0.25"/>
    <row r="115" s="193" customFormat="1" ht="13.5" x14ac:dyDescent="0.25"/>
    <row r="116" s="193" customFormat="1" ht="13.5" x14ac:dyDescent="0.25"/>
    <row r="117" s="193" customFormat="1" ht="13.5" x14ac:dyDescent="0.25"/>
    <row r="118" s="193" customFormat="1" ht="13.5" x14ac:dyDescent="0.25"/>
    <row r="119" s="193" customFormat="1" ht="13.5" x14ac:dyDescent="0.25"/>
    <row r="120" s="193" customFormat="1" ht="13.5" x14ac:dyDescent="0.25"/>
    <row r="121" s="193" customFormat="1" ht="13.5" x14ac:dyDescent="0.25"/>
    <row r="122" s="193" customFormat="1" ht="13.5" x14ac:dyDescent="0.25"/>
    <row r="123" s="193" customFormat="1" ht="13.5" x14ac:dyDescent="0.25"/>
    <row r="124" s="193" customFormat="1" ht="13.5" x14ac:dyDescent="0.25"/>
    <row r="125" s="193" customFormat="1" ht="13.5" x14ac:dyDescent="0.25"/>
    <row r="126" s="193" customFormat="1" ht="13.5" x14ac:dyDescent="0.25"/>
    <row r="127" s="193" customFormat="1" ht="13.5" x14ac:dyDescent="0.25"/>
    <row r="128" s="193" customFormat="1" ht="13.5" x14ac:dyDescent="0.25"/>
    <row r="129" s="193" customFormat="1" ht="13.5" x14ac:dyDescent="0.25"/>
    <row r="130" s="193" customFormat="1" ht="13.5" x14ac:dyDescent="0.25"/>
    <row r="131" s="193" customFormat="1" ht="13.5" x14ac:dyDescent="0.25"/>
    <row r="132" s="193" customFormat="1" ht="13.5" x14ac:dyDescent="0.25"/>
    <row r="133" s="193" customFormat="1" ht="13.5" x14ac:dyDescent="0.25"/>
    <row r="134" s="193" customFormat="1" ht="13.5" x14ac:dyDescent="0.25"/>
    <row r="135" s="193" customFormat="1" ht="13.5" x14ac:dyDescent="0.25"/>
    <row r="136" s="193" customFormat="1" ht="13.5" x14ac:dyDescent="0.25"/>
    <row r="137" s="193" customFormat="1" ht="13.5" x14ac:dyDescent="0.25"/>
    <row r="138" s="193" customFormat="1" ht="13.5" x14ac:dyDescent="0.25"/>
    <row r="139" s="193" customFormat="1" ht="13.5" x14ac:dyDescent="0.25"/>
    <row r="140" s="193" customFormat="1" ht="13.5" x14ac:dyDescent="0.25"/>
    <row r="141" s="193" customFormat="1" ht="13.5" x14ac:dyDescent="0.25"/>
    <row r="142" s="193" customFormat="1" ht="13.5" x14ac:dyDescent="0.25"/>
    <row r="143" s="193" customFormat="1" ht="13.5" x14ac:dyDescent="0.25"/>
    <row r="144" s="193" customFormat="1" ht="13.5" x14ac:dyDescent="0.25"/>
    <row r="145" s="193" customFormat="1" ht="13.5" x14ac:dyDescent="0.25"/>
    <row r="146" s="193" customFormat="1" ht="13.5" x14ac:dyDescent="0.25"/>
    <row r="147" s="193" customFormat="1" ht="13.5" x14ac:dyDescent="0.25"/>
    <row r="148" s="193" customFormat="1" ht="13.5" x14ac:dyDescent="0.25"/>
    <row r="149" s="193" customFormat="1" ht="13.5" x14ac:dyDescent="0.25"/>
    <row r="150" s="193" customFormat="1" ht="13.5" x14ac:dyDescent="0.25"/>
    <row r="151" s="193" customFormat="1" ht="13.5" x14ac:dyDescent="0.25"/>
    <row r="152" s="193" customFormat="1" ht="13.5" x14ac:dyDescent="0.25"/>
    <row r="153" s="193" customFormat="1" ht="13.5" x14ac:dyDescent="0.25"/>
    <row r="154" s="193" customFormat="1" ht="13.5" x14ac:dyDescent="0.25"/>
    <row r="155" s="193" customFormat="1" ht="13.5" x14ac:dyDescent="0.25"/>
    <row r="156" s="193" customFormat="1" ht="13.5" x14ac:dyDescent="0.25"/>
    <row r="157" s="193" customFormat="1" ht="13.5" x14ac:dyDescent="0.25"/>
    <row r="158" s="193" customFormat="1" ht="13.5" x14ac:dyDescent="0.25"/>
    <row r="159" s="193" customFormat="1" ht="13.5" x14ac:dyDescent="0.25"/>
    <row r="160" s="193" customFormat="1" ht="13.5" x14ac:dyDescent="0.25"/>
    <row r="161" s="193" customFormat="1" ht="13.5" x14ac:dyDescent="0.25"/>
    <row r="162" s="193" customFormat="1" ht="13.5" x14ac:dyDescent="0.25"/>
    <row r="163" s="193" customFormat="1" ht="13.5" x14ac:dyDescent="0.25"/>
    <row r="164" s="193" customFormat="1" ht="13.5" x14ac:dyDescent="0.25"/>
    <row r="165" s="193" customFormat="1" ht="13.5" x14ac:dyDescent="0.25"/>
    <row r="166" s="193" customFormat="1" ht="13.5" x14ac:dyDescent="0.25"/>
    <row r="167" s="193" customFormat="1" ht="13.5" x14ac:dyDescent="0.25"/>
    <row r="168" s="193" customFormat="1" ht="13.5" x14ac:dyDescent="0.25"/>
    <row r="169" s="193" customFormat="1" ht="13.5" x14ac:dyDescent="0.25"/>
    <row r="170" s="193" customFormat="1" ht="13.5" x14ac:dyDescent="0.25"/>
    <row r="171" s="193" customFormat="1" ht="13.5" x14ac:dyDescent="0.25"/>
    <row r="172" s="193" customFormat="1" ht="13.5" x14ac:dyDescent="0.25"/>
    <row r="173" s="193" customFormat="1" ht="13.5" x14ac:dyDescent="0.25"/>
    <row r="174" s="193" customFormat="1" ht="13.5" x14ac:dyDescent="0.25"/>
    <row r="175" s="193" customFormat="1" ht="13.5" x14ac:dyDescent="0.25"/>
    <row r="176" s="193" customFormat="1" ht="13.5" x14ac:dyDescent="0.25"/>
    <row r="177" s="193" customFormat="1" ht="13.5" x14ac:dyDescent="0.25"/>
    <row r="178" s="193" customFormat="1" ht="13.5" x14ac:dyDescent="0.25"/>
    <row r="179" s="193" customFormat="1" ht="13.5" x14ac:dyDescent="0.25"/>
    <row r="180" s="193" customFormat="1" ht="13.5" x14ac:dyDescent="0.25"/>
    <row r="181" s="193" customFormat="1" ht="13.5" x14ac:dyDescent="0.25"/>
    <row r="182" s="193" customFormat="1" ht="13.5" x14ac:dyDescent="0.25"/>
    <row r="183" s="193" customFormat="1" ht="13.5" x14ac:dyDescent="0.25"/>
    <row r="184" s="193" customFormat="1" ht="13.5" x14ac:dyDescent="0.25"/>
    <row r="185" s="193" customFormat="1" ht="13.5" x14ac:dyDescent="0.25"/>
    <row r="186" s="193" customFormat="1" ht="13.5" x14ac:dyDescent="0.25"/>
    <row r="187" s="193" customFormat="1" ht="13.5" x14ac:dyDescent="0.25"/>
    <row r="188" s="193" customFormat="1" ht="13.5" x14ac:dyDescent="0.25"/>
    <row r="189" s="193" customFormat="1" ht="13.5" x14ac:dyDescent="0.25"/>
    <row r="190" s="193" customFormat="1" ht="13.5" x14ac:dyDescent="0.25"/>
    <row r="191" s="193" customFormat="1" ht="13.5" x14ac:dyDescent="0.25"/>
    <row r="192" s="193" customFormat="1" ht="13.5" x14ac:dyDescent="0.25"/>
    <row r="193" s="193" customFormat="1" ht="13.5" x14ac:dyDescent="0.25"/>
    <row r="194" s="193" customFormat="1" ht="13.5" x14ac:dyDescent="0.25"/>
    <row r="195" s="193" customFormat="1" ht="13.5" x14ac:dyDescent="0.25"/>
    <row r="196" s="193" customFormat="1" ht="13.5" x14ac:dyDescent="0.25"/>
    <row r="197" s="193" customFormat="1" ht="13.5" x14ac:dyDescent="0.25"/>
    <row r="198" s="193" customFormat="1" ht="13.5" x14ac:dyDescent="0.25"/>
    <row r="199" s="193" customFormat="1" ht="13.5" x14ac:dyDescent="0.25"/>
    <row r="200" s="193" customFormat="1" ht="13.5" x14ac:dyDescent="0.25"/>
    <row r="201" s="193" customFormat="1" ht="13.5" x14ac:dyDescent="0.25"/>
    <row r="202" s="193" customFormat="1" ht="13.5" x14ac:dyDescent="0.25"/>
    <row r="203" s="193" customFormat="1" ht="13.5" x14ac:dyDescent="0.25"/>
    <row r="204" s="193" customFormat="1" ht="13.5" x14ac:dyDescent="0.25"/>
    <row r="205" s="193" customFormat="1" ht="13.5" x14ac:dyDescent="0.25"/>
    <row r="206" s="193" customFormat="1" ht="13.5" x14ac:dyDescent="0.25"/>
    <row r="207" s="193" customFormat="1" ht="13.5" x14ac:dyDescent="0.25"/>
    <row r="208" s="193" customFormat="1" ht="13.5" x14ac:dyDescent="0.25"/>
    <row r="209" s="193" customFormat="1" ht="13.5" x14ac:dyDescent="0.25"/>
    <row r="210" s="193" customFormat="1" ht="13.5" x14ac:dyDescent="0.25"/>
    <row r="211" s="193" customFormat="1" ht="13.5" x14ac:dyDescent="0.25"/>
    <row r="212" s="193" customFormat="1" ht="13.5" x14ac:dyDescent="0.25"/>
    <row r="213" s="193" customFormat="1" ht="13.5" x14ac:dyDescent="0.25"/>
    <row r="214" s="193" customFormat="1" ht="13.5" x14ac:dyDescent="0.25"/>
    <row r="215" s="193" customFormat="1" ht="13.5" x14ac:dyDescent="0.25"/>
    <row r="216" s="193" customFormat="1" ht="13.5" x14ac:dyDescent="0.25"/>
    <row r="217" s="193" customFormat="1" ht="13.5" x14ac:dyDescent="0.25"/>
    <row r="218" s="193" customFormat="1" ht="13.5" x14ac:dyDescent="0.25"/>
    <row r="219" s="193" customFormat="1" ht="13.5" x14ac:dyDescent="0.25"/>
    <row r="220" s="193" customFormat="1" ht="13.5" x14ac:dyDescent="0.25"/>
    <row r="221" s="193" customFormat="1" ht="13.5" x14ac:dyDescent="0.25"/>
    <row r="222" s="193" customFormat="1" ht="13.5" x14ac:dyDescent="0.25"/>
    <row r="223" s="193" customFormat="1" ht="13.5" x14ac:dyDescent="0.25"/>
    <row r="224" s="193" customFormat="1" ht="13.5" x14ac:dyDescent="0.25"/>
    <row r="225" s="193" customFormat="1" ht="13.5" x14ac:dyDescent="0.25"/>
    <row r="226" s="193" customFormat="1" ht="13.5" x14ac:dyDescent="0.25"/>
    <row r="227" s="193" customFormat="1" ht="13.5" x14ac:dyDescent="0.25"/>
    <row r="228" s="193" customFormat="1" ht="13.5" x14ac:dyDescent="0.25"/>
    <row r="229" s="193" customFormat="1" ht="13.5" x14ac:dyDescent="0.25"/>
    <row r="230" s="193" customFormat="1" ht="13.5" x14ac:dyDescent="0.25"/>
    <row r="231" s="193" customFormat="1" ht="13.5" x14ac:dyDescent="0.25"/>
    <row r="232" s="193" customFormat="1" ht="13.5" x14ac:dyDescent="0.25"/>
    <row r="233" s="193" customFormat="1" ht="13.5" x14ac:dyDescent="0.25"/>
    <row r="234" s="193" customFormat="1" ht="13.5" x14ac:dyDescent="0.25"/>
    <row r="235" s="193" customFormat="1" ht="13.5" x14ac:dyDescent="0.25"/>
    <row r="236" s="193" customFormat="1" ht="13.5" x14ac:dyDescent="0.25"/>
    <row r="237" s="193" customFormat="1" ht="13.5" x14ac:dyDescent="0.25"/>
    <row r="238" s="193" customFormat="1" ht="13.5" x14ac:dyDescent="0.25"/>
    <row r="239" s="193" customFormat="1" ht="13.5" x14ac:dyDescent="0.25"/>
    <row r="240" s="193" customFormat="1" ht="13.5" x14ac:dyDescent="0.25"/>
    <row r="241" s="193" customFormat="1" ht="13.5" x14ac:dyDescent="0.25"/>
    <row r="242" s="193" customFormat="1" ht="13.5" x14ac:dyDescent="0.25"/>
    <row r="243" s="193" customFormat="1" ht="13.5" x14ac:dyDescent="0.25"/>
    <row r="244" s="193" customFormat="1" ht="13.5" x14ac:dyDescent="0.25"/>
    <row r="245" s="193" customFormat="1" ht="13.5" x14ac:dyDescent="0.25"/>
    <row r="246" s="193" customFormat="1" ht="13.5" x14ac:dyDescent="0.25"/>
    <row r="247" s="193" customFormat="1" ht="13.5" x14ac:dyDescent="0.25"/>
    <row r="248" s="193" customFormat="1" ht="13.5" x14ac:dyDescent="0.25"/>
    <row r="249" s="193" customFormat="1" ht="13.5" x14ac:dyDescent="0.25"/>
    <row r="250" s="193" customFormat="1" ht="13.5" x14ac:dyDescent="0.25"/>
    <row r="251" s="193" customFormat="1" ht="13.5" x14ac:dyDescent="0.25"/>
    <row r="252" s="193" customFormat="1" ht="13.5" x14ac:dyDescent="0.25"/>
    <row r="253" s="193" customFormat="1" ht="13.5" x14ac:dyDescent="0.25"/>
    <row r="254" s="193" customFormat="1" ht="13.5" x14ac:dyDescent="0.25"/>
    <row r="255" s="193" customFormat="1" ht="13.5" x14ac:dyDescent="0.25"/>
    <row r="256" s="193" customFormat="1" ht="13.5" x14ac:dyDescent="0.25"/>
    <row r="257" s="193" customFormat="1" ht="13.5" x14ac:dyDescent="0.25"/>
    <row r="258" s="193" customFormat="1" ht="13.5" x14ac:dyDescent="0.25"/>
    <row r="259" s="193" customFormat="1" ht="13.5" x14ac:dyDescent="0.25"/>
    <row r="260" s="193" customFormat="1" ht="13.5" x14ac:dyDescent="0.25"/>
    <row r="261" s="193" customFormat="1" ht="13.5" x14ac:dyDescent="0.25"/>
    <row r="262" s="193" customFormat="1" ht="13.5" x14ac:dyDescent="0.25"/>
    <row r="263" s="193" customFormat="1" ht="13.5" x14ac:dyDescent="0.25"/>
    <row r="264" s="193" customFormat="1" ht="13.5" x14ac:dyDescent="0.25"/>
    <row r="265" s="193" customFormat="1" ht="13.5" x14ac:dyDescent="0.25"/>
    <row r="266" s="193" customFormat="1" ht="13.5" x14ac:dyDescent="0.25"/>
    <row r="267" s="193" customFormat="1" ht="13.5" x14ac:dyDescent="0.25"/>
    <row r="268" s="193" customFormat="1" ht="13.5" x14ac:dyDescent="0.25"/>
    <row r="269" s="193" customFormat="1" ht="13.5" x14ac:dyDescent="0.25"/>
    <row r="270" s="193" customFormat="1" ht="13.5" x14ac:dyDescent="0.25"/>
    <row r="271" s="193" customFormat="1" ht="13.5" x14ac:dyDescent="0.25"/>
    <row r="272" s="193" customFormat="1" ht="13.5" x14ac:dyDescent="0.25"/>
    <row r="273" s="193" customFormat="1" ht="13.5" x14ac:dyDescent="0.25"/>
    <row r="274" s="193" customFormat="1" ht="13.5" x14ac:dyDescent="0.25"/>
    <row r="275" s="193" customFormat="1" ht="13.5" x14ac:dyDescent="0.25"/>
    <row r="276" s="193" customFormat="1" ht="13.5" x14ac:dyDescent="0.25"/>
    <row r="277" s="193" customFormat="1" ht="13.5" x14ac:dyDescent="0.25"/>
    <row r="278" s="193" customFormat="1" ht="13.5" x14ac:dyDescent="0.25"/>
    <row r="279" s="193" customFormat="1" ht="13.5" x14ac:dyDescent="0.25"/>
    <row r="280" s="193" customFormat="1" ht="13.5" x14ac:dyDescent="0.25"/>
    <row r="281" s="193" customFormat="1" ht="13.5" x14ac:dyDescent="0.25"/>
    <row r="282" s="193" customFormat="1" ht="13.5" x14ac:dyDescent="0.25"/>
    <row r="283" s="193" customFormat="1" ht="13.5" x14ac:dyDescent="0.25"/>
    <row r="284" s="193" customFormat="1" ht="13.5" x14ac:dyDescent="0.25"/>
    <row r="285" s="193" customFormat="1" ht="13.5" x14ac:dyDescent="0.25"/>
    <row r="286" s="193" customFormat="1" ht="13.5" x14ac:dyDescent="0.25"/>
    <row r="287" s="193" customFormat="1" ht="13.5" x14ac:dyDescent="0.25"/>
    <row r="288" s="193" customFormat="1" ht="13.5" x14ac:dyDescent="0.25"/>
    <row r="289" s="193" customFormat="1" ht="13.5" x14ac:dyDescent="0.25"/>
    <row r="290" s="193" customFormat="1" ht="13.5" x14ac:dyDescent="0.25"/>
    <row r="291" s="193" customFormat="1" ht="13.5" x14ac:dyDescent="0.25"/>
    <row r="292" s="193" customFormat="1" ht="13.5" x14ac:dyDescent="0.25"/>
    <row r="293" s="193" customFormat="1" ht="13.5" x14ac:dyDescent="0.25"/>
    <row r="294" s="193" customFormat="1" ht="13.5" x14ac:dyDescent="0.25"/>
    <row r="295" s="193" customFormat="1" ht="13.5" x14ac:dyDescent="0.25"/>
    <row r="296" s="193" customFormat="1" ht="13.5" x14ac:dyDescent="0.25"/>
    <row r="297" s="193" customFormat="1" ht="13.5" x14ac:dyDescent="0.25"/>
    <row r="298" s="193" customFormat="1" ht="13.5" x14ac:dyDescent="0.25"/>
    <row r="299" s="193" customFormat="1" ht="13.5" x14ac:dyDescent="0.25"/>
    <row r="300" s="193" customFormat="1" ht="13.5" x14ac:dyDescent="0.25"/>
    <row r="301" s="193" customFormat="1" ht="13.5" x14ac:dyDescent="0.25"/>
    <row r="302" s="193" customFormat="1" ht="13.5" x14ac:dyDescent="0.25"/>
    <row r="303" s="193" customFormat="1" ht="13.5" x14ac:dyDescent="0.25"/>
    <row r="304" s="193" customFormat="1" ht="13.5" x14ac:dyDescent="0.25"/>
    <row r="305" s="193" customFormat="1" ht="13.5" x14ac:dyDescent="0.25"/>
    <row r="306" s="193" customFormat="1" ht="13.5" x14ac:dyDescent="0.25"/>
    <row r="307" s="193" customFormat="1" ht="13.5" x14ac:dyDescent="0.25"/>
    <row r="308" s="193" customFormat="1" ht="13.5" x14ac:dyDescent="0.25"/>
    <row r="309" s="193" customFormat="1" ht="13.5" x14ac:dyDescent="0.25"/>
    <row r="310" s="193" customFormat="1" ht="13.5" x14ac:dyDescent="0.25"/>
    <row r="311" s="193" customFormat="1" ht="13.5" x14ac:dyDescent="0.25"/>
    <row r="312" s="193" customFormat="1" ht="13.5" x14ac:dyDescent="0.25"/>
    <row r="313" s="193" customFormat="1" ht="13.5" x14ac:dyDescent="0.25"/>
    <row r="314" s="193" customFormat="1" ht="13.5" x14ac:dyDescent="0.25"/>
    <row r="315" s="193" customFormat="1" ht="13.5" x14ac:dyDescent="0.25"/>
    <row r="316" s="193" customFormat="1" ht="13.5" x14ac:dyDescent="0.25"/>
    <row r="317" s="193" customFormat="1" ht="13.5" x14ac:dyDescent="0.25"/>
    <row r="318" s="193" customFormat="1" ht="13.5" x14ac:dyDescent="0.25"/>
    <row r="319" s="193" customFormat="1" ht="13.5" x14ac:dyDescent="0.25"/>
    <row r="320" s="193" customFormat="1" ht="13.5" x14ac:dyDescent="0.25"/>
  </sheetData>
  <mergeCells count="4">
    <mergeCell ref="A3:B3"/>
    <mergeCell ref="C3:C4"/>
    <mergeCell ref="D3:D4"/>
    <mergeCell ref="A1:D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1B846-2F9F-4393-9802-BAD86F83B87D}">
  <dimension ref="A1:D323"/>
  <sheetViews>
    <sheetView showGridLines="0" workbookViewId="0">
      <selection activeCell="C92" sqref="C92"/>
    </sheetView>
  </sheetViews>
  <sheetFormatPr defaultColWidth="8.7109375" defaultRowHeight="12.75" x14ac:dyDescent="0.2"/>
  <cols>
    <col min="1" max="2" width="6.42578125" style="191" customWidth="1"/>
    <col min="3" max="3" width="55.42578125" style="191" customWidth="1"/>
    <col min="4" max="4" width="7.28515625" style="191" customWidth="1"/>
    <col min="5" max="16384" width="8.7109375" style="191"/>
  </cols>
  <sheetData>
    <row r="1" spans="1:4" ht="38.1" customHeight="1" x14ac:dyDescent="0.2">
      <c r="A1" s="489" t="s">
        <v>1683</v>
      </c>
      <c r="B1" s="489"/>
      <c r="C1" s="489"/>
      <c r="D1" s="489"/>
    </row>
    <row r="2" spans="1:4" s="193" customFormat="1" ht="13.5" x14ac:dyDescent="0.25"/>
    <row r="3" spans="1:4" s="193" customFormat="1" ht="13.5" x14ac:dyDescent="0.25">
      <c r="A3" s="501" t="s">
        <v>363</v>
      </c>
      <c r="B3" s="501"/>
      <c r="C3" s="501" t="s">
        <v>1448</v>
      </c>
      <c r="D3" s="501" t="s">
        <v>1449</v>
      </c>
    </row>
    <row r="4" spans="1:4" s="193" customFormat="1" ht="13.5" x14ac:dyDescent="0.25">
      <c r="A4" s="226" t="s">
        <v>367</v>
      </c>
      <c r="B4" s="226" t="s">
        <v>368</v>
      </c>
      <c r="C4" s="501"/>
      <c r="D4" s="501"/>
    </row>
    <row r="5" spans="1:4" s="193" customFormat="1" ht="13.5" x14ac:dyDescent="0.25">
      <c r="A5" s="224"/>
      <c r="B5" s="224"/>
      <c r="C5" s="214" t="s">
        <v>1684</v>
      </c>
      <c r="D5" s="224"/>
    </row>
    <row r="6" spans="1:4" s="193" customFormat="1" ht="13.5" x14ac:dyDescent="0.25">
      <c r="A6" s="224"/>
      <c r="B6" s="217" t="s">
        <v>1595</v>
      </c>
      <c r="C6" s="215" t="s">
        <v>1685</v>
      </c>
      <c r="D6" s="227">
        <v>13.87</v>
      </c>
    </row>
    <row r="7" spans="1:4" s="193" customFormat="1" ht="13.5" x14ac:dyDescent="0.25">
      <c r="A7" s="224"/>
      <c r="B7" s="217" t="s">
        <v>1596</v>
      </c>
      <c r="C7" s="215" t="s">
        <v>1686</v>
      </c>
      <c r="D7" s="227" t="s">
        <v>1687</v>
      </c>
    </row>
    <row r="8" spans="1:4" s="193" customFormat="1" ht="13.5" x14ac:dyDescent="0.25">
      <c r="A8" s="224"/>
      <c r="B8" s="217" t="s">
        <v>1688</v>
      </c>
      <c r="C8" s="215" t="s">
        <v>1689</v>
      </c>
      <c r="D8" s="227">
        <v>13.87</v>
      </c>
    </row>
    <row r="9" spans="1:4" s="193" customFormat="1" ht="13.5" x14ac:dyDescent="0.25">
      <c r="A9" s="224"/>
      <c r="B9" s="224"/>
      <c r="C9" s="214" t="s">
        <v>1690</v>
      </c>
      <c r="D9" s="228"/>
    </row>
    <row r="10" spans="1:4" s="193" customFormat="1" ht="13.5" x14ac:dyDescent="0.25">
      <c r="A10" s="217">
        <v>60181</v>
      </c>
      <c r="B10" s="217" t="s">
        <v>1691</v>
      </c>
      <c r="C10" s="215" t="s">
        <v>1692</v>
      </c>
      <c r="D10" s="227">
        <v>10.85</v>
      </c>
    </row>
    <row r="11" spans="1:4" s="193" customFormat="1" ht="13.5" x14ac:dyDescent="0.25">
      <c r="A11" s="217">
        <v>60200</v>
      </c>
      <c r="B11" s="217" t="s">
        <v>1693</v>
      </c>
      <c r="C11" s="215" t="s">
        <v>1694</v>
      </c>
      <c r="D11" s="227">
        <v>5.4</v>
      </c>
    </row>
    <row r="12" spans="1:4" s="193" customFormat="1" ht="13.5" x14ac:dyDescent="0.25">
      <c r="A12" s="217">
        <v>60301</v>
      </c>
      <c r="B12" s="217" t="s">
        <v>450</v>
      </c>
      <c r="C12" s="215" t="s">
        <v>1695</v>
      </c>
      <c r="D12" s="227">
        <v>4.91</v>
      </c>
    </row>
    <row r="13" spans="1:4" s="193" customFormat="1" ht="13.5" x14ac:dyDescent="0.25">
      <c r="A13" s="217">
        <v>60310</v>
      </c>
      <c r="B13" s="217" t="s">
        <v>1044</v>
      </c>
      <c r="C13" s="215" t="s">
        <v>1696</v>
      </c>
      <c r="D13" s="227">
        <v>4</v>
      </c>
    </row>
    <row r="14" spans="1:4" s="193" customFormat="1" ht="13.5" x14ac:dyDescent="0.25">
      <c r="A14" s="224"/>
      <c r="B14" s="224"/>
      <c r="C14" s="215" t="s">
        <v>1697</v>
      </c>
      <c r="D14" s="228"/>
    </row>
    <row r="15" spans="1:4" s="193" customFormat="1" ht="40.5" x14ac:dyDescent="0.25">
      <c r="A15" s="224"/>
      <c r="B15" s="224"/>
      <c r="C15" s="215" t="s">
        <v>1698</v>
      </c>
      <c r="D15" s="228"/>
    </row>
    <row r="16" spans="1:4" s="193" customFormat="1" ht="27" x14ac:dyDescent="0.25">
      <c r="A16" s="224"/>
      <c r="B16" s="224"/>
      <c r="C16" s="215" t="s">
        <v>1699</v>
      </c>
      <c r="D16" s="228"/>
    </row>
    <row r="17" spans="1:4" s="193" customFormat="1" ht="27" x14ac:dyDescent="0.25">
      <c r="A17" s="224"/>
      <c r="B17" s="224"/>
      <c r="C17" s="215" t="s">
        <v>1700</v>
      </c>
      <c r="D17" s="228"/>
    </row>
    <row r="18" spans="1:4" s="193" customFormat="1" ht="27" x14ac:dyDescent="0.25">
      <c r="A18" s="224"/>
      <c r="B18" s="224"/>
      <c r="C18" s="215" t="s">
        <v>1701</v>
      </c>
      <c r="D18" s="228"/>
    </row>
    <row r="19" spans="1:4" s="193" customFormat="1" ht="27" x14ac:dyDescent="0.25">
      <c r="A19" s="224"/>
      <c r="B19" s="224"/>
      <c r="C19" s="215" t="s">
        <v>1702</v>
      </c>
      <c r="D19" s="228"/>
    </row>
    <row r="20" spans="1:4" s="193" customFormat="1" ht="27" x14ac:dyDescent="0.25">
      <c r="A20" s="224"/>
      <c r="B20" s="224"/>
      <c r="C20" s="215" t="s">
        <v>1703</v>
      </c>
      <c r="D20" s="228"/>
    </row>
    <row r="21" spans="1:4" s="193" customFormat="1" ht="27" x14ac:dyDescent="0.25">
      <c r="A21" s="224"/>
      <c r="B21" s="224"/>
      <c r="C21" s="215" t="s">
        <v>1704</v>
      </c>
      <c r="D21" s="228"/>
    </row>
    <row r="22" spans="1:4" s="193" customFormat="1" ht="27" x14ac:dyDescent="0.25">
      <c r="A22" s="224"/>
      <c r="B22" s="224"/>
      <c r="C22" s="215" t="s">
        <v>1705</v>
      </c>
      <c r="D22" s="228"/>
    </row>
    <row r="23" spans="1:4" s="193" customFormat="1" ht="27" x14ac:dyDescent="0.25">
      <c r="A23" s="224"/>
      <c r="B23" s="224"/>
      <c r="C23" s="215" t="s">
        <v>1706</v>
      </c>
      <c r="D23" s="228"/>
    </row>
    <row r="24" spans="1:4" s="193" customFormat="1" ht="27" x14ac:dyDescent="0.25">
      <c r="A24" s="224"/>
      <c r="B24" s="224"/>
      <c r="C24" s="215" t="s">
        <v>1707</v>
      </c>
      <c r="D24" s="228"/>
    </row>
    <row r="25" spans="1:4" s="193" customFormat="1" ht="27" x14ac:dyDescent="0.25">
      <c r="A25" s="224"/>
      <c r="B25" s="224"/>
      <c r="C25" s="215" t="s">
        <v>1708</v>
      </c>
      <c r="D25" s="228"/>
    </row>
    <row r="26" spans="1:4" s="193" customFormat="1" ht="13.5" x14ac:dyDescent="0.25">
      <c r="A26" s="224"/>
      <c r="B26" s="224"/>
      <c r="C26" s="214" t="s">
        <v>1709</v>
      </c>
      <c r="D26" s="228"/>
    </row>
    <row r="27" spans="1:4" s="193" customFormat="1" ht="13.5" x14ac:dyDescent="0.25">
      <c r="A27" s="217">
        <v>60792</v>
      </c>
      <c r="B27" s="217" t="s">
        <v>1639</v>
      </c>
      <c r="C27" s="215" t="s">
        <v>48</v>
      </c>
      <c r="D27" s="227">
        <v>1.5</v>
      </c>
    </row>
    <row r="28" spans="1:4" s="193" customFormat="1" ht="13.5" x14ac:dyDescent="0.25">
      <c r="A28" s="217">
        <v>60800</v>
      </c>
      <c r="B28" s="217" t="s">
        <v>1710</v>
      </c>
      <c r="C28" s="215" t="s">
        <v>1711</v>
      </c>
      <c r="D28" s="227">
        <v>1.5</v>
      </c>
    </row>
    <row r="29" spans="1:4" s="193" customFormat="1" ht="13.5" x14ac:dyDescent="0.25">
      <c r="A29" s="217">
        <v>60801</v>
      </c>
      <c r="B29" s="217" t="s">
        <v>1712</v>
      </c>
      <c r="C29" s="215" t="s">
        <v>1713</v>
      </c>
      <c r="D29" s="227">
        <v>1.5</v>
      </c>
    </row>
    <row r="30" spans="1:4" s="193" customFormat="1" ht="13.5" x14ac:dyDescent="0.25">
      <c r="A30" s="217">
        <v>60802</v>
      </c>
      <c r="B30" s="217" t="s">
        <v>1714</v>
      </c>
      <c r="C30" s="215" t="s">
        <v>1715</v>
      </c>
      <c r="D30" s="227">
        <v>1.5</v>
      </c>
    </row>
    <row r="31" spans="1:4" s="193" customFormat="1" ht="13.5" x14ac:dyDescent="0.25">
      <c r="A31" s="217">
        <v>60644</v>
      </c>
      <c r="B31" s="217" t="s">
        <v>1641</v>
      </c>
      <c r="C31" s="215" t="s">
        <v>1716</v>
      </c>
      <c r="D31" s="227">
        <v>1.4</v>
      </c>
    </row>
    <row r="32" spans="1:4" s="193" customFormat="1" ht="13.5" x14ac:dyDescent="0.25">
      <c r="A32" s="217">
        <v>60624</v>
      </c>
      <c r="B32" s="217" t="s">
        <v>926</v>
      </c>
      <c r="C32" s="215" t="s">
        <v>1717</v>
      </c>
      <c r="D32" s="227">
        <v>1.8</v>
      </c>
    </row>
    <row r="33" spans="1:4" s="193" customFormat="1" ht="13.5" x14ac:dyDescent="0.25">
      <c r="A33" s="217">
        <v>60771</v>
      </c>
      <c r="B33" s="217" t="s">
        <v>1718</v>
      </c>
      <c r="C33" s="215" t="s">
        <v>1719</v>
      </c>
      <c r="D33" s="227">
        <v>1.6</v>
      </c>
    </row>
    <row r="34" spans="1:4" s="193" customFormat="1" ht="13.5" x14ac:dyDescent="0.25">
      <c r="A34" s="217">
        <v>60666</v>
      </c>
      <c r="B34" s="217" t="s">
        <v>1720</v>
      </c>
      <c r="C34" s="215" t="s">
        <v>1721</v>
      </c>
      <c r="D34" s="227">
        <v>1.3</v>
      </c>
    </row>
    <row r="35" spans="1:4" s="193" customFormat="1" ht="13.5" x14ac:dyDescent="0.25">
      <c r="A35" s="224"/>
      <c r="B35" s="224"/>
      <c r="C35" s="214" t="s">
        <v>1722</v>
      </c>
      <c r="D35" s="228"/>
    </row>
    <row r="36" spans="1:4" s="193" customFormat="1" ht="13.5" x14ac:dyDescent="0.25">
      <c r="A36" s="217">
        <v>60750</v>
      </c>
      <c r="B36" s="217" t="s">
        <v>1723</v>
      </c>
      <c r="C36" s="215" t="s">
        <v>1724</v>
      </c>
      <c r="D36" s="227">
        <v>1.3</v>
      </c>
    </row>
    <row r="37" spans="1:4" s="193" customFormat="1" ht="13.5" x14ac:dyDescent="0.25">
      <c r="A37" s="224"/>
      <c r="B37" s="224"/>
      <c r="C37" s="214" t="s">
        <v>1725</v>
      </c>
      <c r="D37" s="228"/>
    </row>
    <row r="38" spans="1:4" s="193" customFormat="1" ht="13.5" x14ac:dyDescent="0.25">
      <c r="A38" s="217">
        <v>60708</v>
      </c>
      <c r="B38" s="217" t="s">
        <v>1615</v>
      </c>
      <c r="C38" s="215" t="s">
        <v>1726</v>
      </c>
      <c r="D38" s="227">
        <v>1.21</v>
      </c>
    </row>
    <row r="39" spans="1:4" s="193" customFormat="1" ht="13.5" x14ac:dyDescent="0.25">
      <c r="A39" s="217">
        <v>60729</v>
      </c>
      <c r="B39" s="217" t="s">
        <v>1727</v>
      </c>
      <c r="C39" s="215" t="s">
        <v>1728</v>
      </c>
      <c r="D39" s="227">
        <v>1.21</v>
      </c>
    </row>
    <row r="40" spans="1:4" s="193" customFormat="1" ht="13.5" x14ac:dyDescent="0.25">
      <c r="A40" s="224"/>
      <c r="B40" s="224"/>
      <c r="C40" s="214" t="s">
        <v>1729</v>
      </c>
      <c r="D40" s="228"/>
    </row>
    <row r="41" spans="1:4" s="193" customFormat="1" ht="13.5" x14ac:dyDescent="0.25">
      <c r="A41" s="217">
        <v>60550</v>
      </c>
      <c r="B41" s="217" t="s">
        <v>1021</v>
      </c>
      <c r="C41" s="215" t="s">
        <v>1730</v>
      </c>
      <c r="D41" s="227">
        <v>1.21</v>
      </c>
    </row>
    <row r="42" spans="1:4" s="193" customFormat="1" ht="13.5" x14ac:dyDescent="0.25">
      <c r="A42" s="217">
        <v>60555</v>
      </c>
      <c r="B42" s="217" t="s">
        <v>1731</v>
      </c>
      <c r="C42" s="215" t="s">
        <v>1732</v>
      </c>
      <c r="D42" s="227">
        <v>1.21</v>
      </c>
    </row>
    <row r="43" spans="1:4" s="193" customFormat="1" ht="13.5" x14ac:dyDescent="0.25">
      <c r="A43" s="217">
        <v>60583</v>
      </c>
      <c r="B43" s="217" t="s">
        <v>1027</v>
      </c>
      <c r="C43" s="215" t="s">
        <v>1733</v>
      </c>
      <c r="D43" s="227">
        <v>1.63</v>
      </c>
    </row>
    <row r="44" spans="1:4" s="193" customFormat="1" ht="13.5" x14ac:dyDescent="0.25">
      <c r="A44" s="217">
        <v>60584</v>
      </c>
      <c r="B44" s="217" t="s">
        <v>1023</v>
      </c>
      <c r="C44" s="215" t="s">
        <v>1734</v>
      </c>
      <c r="D44" s="227">
        <v>1.63</v>
      </c>
    </row>
    <row r="45" spans="1:4" s="193" customFormat="1" ht="13.5" x14ac:dyDescent="0.25">
      <c r="A45" s="224"/>
      <c r="B45" s="224"/>
      <c r="C45" s="214" t="s">
        <v>1735</v>
      </c>
      <c r="D45" s="228"/>
    </row>
    <row r="46" spans="1:4" s="193" customFormat="1" ht="13.5" x14ac:dyDescent="0.25">
      <c r="A46" s="217">
        <v>60962</v>
      </c>
      <c r="B46" s="217" t="s">
        <v>1037</v>
      </c>
      <c r="C46" s="215" t="s">
        <v>1736</v>
      </c>
      <c r="D46" s="227">
        <v>2</v>
      </c>
    </row>
    <row r="47" spans="1:4" s="193" customFormat="1" ht="13.5" x14ac:dyDescent="0.25">
      <c r="A47" s="217">
        <v>60961</v>
      </c>
      <c r="B47" s="217" t="s">
        <v>1737</v>
      </c>
      <c r="C47" s="215" t="s">
        <v>1738</v>
      </c>
      <c r="D47" s="227">
        <v>1.63</v>
      </c>
    </row>
    <row r="48" spans="1:4" s="193" customFormat="1" ht="13.5" x14ac:dyDescent="0.25">
      <c r="A48" s="217">
        <v>60930</v>
      </c>
      <c r="B48" s="217" t="s">
        <v>1739</v>
      </c>
      <c r="C48" s="215" t="s">
        <v>1740</v>
      </c>
      <c r="D48" s="227">
        <v>1.63</v>
      </c>
    </row>
    <row r="49" spans="1:4" s="193" customFormat="1" ht="13.5" x14ac:dyDescent="0.25">
      <c r="A49" s="217">
        <v>60887</v>
      </c>
      <c r="B49" s="217" t="s">
        <v>1741</v>
      </c>
      <c r="C49" s="215" t="s">
        <v>1742</v>
      </c>
      <c r="D49" s="227">
        <v>1.4</v>
      </c>
    </row>
    <row r="50" spans="1:4" s="193" customFormat="1" ht="13.5" x14ac:dyDescent="0.25">
      <c r="A50" s="217">
        <v>60929</v>
      </c>
      <c r="B50" s="217" t="s">
        <v>1743</v>
      </c>
      <c r="C50" s="215" t="s">
        <v>1744</v>
      </c>
      <c r="D50" s="227">
        <v>1.63</v>
      </c>
    </row>
    <row r="51" spans="1:4" s="193" customFormat="1" ht="13.5" x14ac:dyDescent="0.25">
      <c r="A51" s="217">
        <v>60910</v>
      </c>
      <c r="B51" s="217" t="s">
        <v>476</v>
      </c>
      <c r="C51" s="215" t="s">
        <v>1745</v>
      </c>
      <c r="D51" s="227">
        <v>2.17</v>
      </c>
    </row>
    <row r="52" spans="1:4" s="193" customFormat="1" ht="13.5" x14ac:dyDescent="0.25">
      <c r="A52" s="217">
        <v>60908</v>
      </c>
      <c r="B52" s="217" t="s">
        <v>474</v>
      </c>
      <c r="C52" s="215" t="s">
        <v>1746</v>
      </c>
      <c r="D52" s="227">
        <v>1.55</v>
      </c>
    </row>
    <row r="53" spans="1:4" s="193" customFormat="1" ht="13.5" x14ac:dyDescent="0.25">
      <c r="A53" s="217">
        <v>60982</v>
      </c>
      <c r="B53" s="217" t="s">
        <v>1414</v>
      </c>
      <c r="C53" s="215" t="s">
        <v>1747</v>
      </c>
      <c r="D53" s="227">
        <v>2.5</v>
      </c>
    </row>
    <row r="54" spans="1:4" s="193" customFormat="1" ht="13.5" x14ac:dyDescent="0.25">
      <c r="A54" s="217">
        <v>60985</v>
      </c>
      <c r="B54" s="217" t="s">
        <v>1748</v>
      </c>
      <c r="C54" s="215" t="s">
        <v>1749</v>
      </c>
      <c r="D54" s="227">
        <v>1.63</v>
      </c>
    </row>
    <row r="55" spans="1:4" s="193" customFormat="1" ht="13.5" x14ac:dyDescent="0.25">
      <c r="A55" s="224"/>
      <c r="B55" s="224"/>
      <c r="C55" s="214" t="s">
        <v>1750</v>
      </c>
      <c r="D55" s="228"/>
    </row>
    <row r="56" spans="1:4" s="193" customFormat="1" ht="13.5" x14ac:dyDescent="0.25">
      <c r="A56" s="217">
        <v>60222</v>
      </c>
      <c r="B56" s="217" t="s">
        <v>1676</v>
      </c>
      <c r="C56" s="215" t="s">
        <v>1751</v>
      </c>
      <c r="D56" s="227">
        <v>1.3</v>
      </c>
    </row>
    <row r="57" spans="1:4" s="193" customFormat="1" ht="13.5" x14ac:dyDescent="0.25">
      <c r="A57" s="217">
        <v>60233</v>
      </c>
      <c r="B57" s="217" t="s">
        <v>1042</v>
      </c>
      <c r="C57" s="215" t="s">
        <v>1752</v>
      </c>
      <c r="D57" s="227">
        <v>1.8</v>
      </c>
    </row>
    <row r="58" spans="1:4" s="193" customFormat="1" ht="13.5" x14ac:dyDescent="0.25">
      <c r="A58" s="217">
        <v>60940</v>
      </c>
      <c r="B58" s="217" t="s">
        <v>1753</v>
      </c>
      <c r="C58" s="215" t="s">
        <v>1754</v>
      </c>
      <c r="D58" s="227">
        <v>1.6</v>
      </c>
    </row>
    <row r="59" spans="1:4" s="193" customFormat="1" ht="13.5" x14ac:dyDescent="0.25">
      <c r="A59" s="217">
        <v>61175</v>
      </c>
      <c r="B59" s="217" t="s">
        <v>1755</v>
      </c>
      <c r="C59" s="215" t="s">
        <v>1756</v>
      </c>
      <c r="D59" s="227">
        <v>1.3</v>
      </c>
    </row>
    <row r="60" spans="1:4" s="193" customFormat="1" ht="13.5" x14ac:dyDescent="0.25">
      <c r="A60" s="224"/>
      <c r="B60" s="224"/>
      <c r="C60" s="214" t="s">
        <v>1757</v>
      </c>
      <c r="D60" s="228"/>
    </row>
    <row r="61" spans="1:4" s="193" customFormat="1" ht="13.5" x14ac:dyDescent="0.25">
      <c r="A61" s="217">
        <v>60430</v>
      </c>
      <c r="B61" s="217" t="s">
        <v>1758</v>
      </c>
      <c r="C61" s="215" t="s">
        <v>1759</v>
      </c>
      <c r="D61" s="227">
        <v>2.17</v>
      </c>
    </row>
    <row r="62" spans="1:4" s="193" customFormat="1" ht="13.5" x14ac:dyDescent="0.25">
      <c r="A62" s="217">
        <v>60375</v>
      </c>
      <c r="B62" s="217" t="s">
        <v>1672</v>
      </c>
      <c r="C62" s="215" t="s">
        <v>1760</v>
      </c>
      <c r="D62" s="227">
        <v>2.17</v>
      </c>
    </row>
    <row r="63" spans="1:4" s="193" customFormat="1" ht="13.5" x14ac:dyDescent="0.25">
      <c r="A63" s="217">
        <v>60380</v>
      </c>
      <c r="B63" s="217" t="s">
        <v>1761</v>
      </c>
      <c r="C63" s="215" t="s">
        <v>1762</v>
      </c>
      <c r="D63" s="227">
        <v>2.17</v>
      </c>
    </row>
    <row r="64" spans="1:4" s="193" customFormat="1" ht="13.5" x14ac:dyDescent="0.25">
      <c r="A64" s="217">
        <v>61090</v>
      </c>
      <c r="B64" s="217" t="s">
        <v>1668</v>
      </c>
      <c r="C64" s="215" t="s">
        <v>1763</v>
      </c>
      <c r="D64" s="227">
        <v>2.17</v>
      </c>
    </row>
    <row r="65" spans="1:4" s="193" customFormat="1" ht="13.5" x14ac:dyDescent="0.25">
      <c r="A65" s="217">
        <v>61102</v>
      </c>
      <c r="B65" s="217" t="s">
        <v>1764</v>
      </c>
      <c r="C65" s="215" t="s">
        <v>1765</v>
      </c>
      <c r="D65" s="227">
        <v>2</v>
      </c>
    </row>
    <row r="66" spans="1:4" s="193" customFormat="1" ht="13.5" x14ac:dyDescent="0.25">
      <c r="A66" s="217">
        <v>60290</v>
      </c>
      <c r="B66" s="217" t="s">
        <v>905</v>
      </c>
      <c r="C66" s="215" t="s">
        <v>1766</v>
      </c>
      <c r="D66" s="227">
        <v>1.5</v>
      </c>
    </row>
    <row r="67" spans="1:4" s="193" customFormat="1" ht="13.5" x14ac:dyDescent="0.25">
      <c r="A67" s="217">
        <v>60377</v>
      </c>
      <c r="B67" s="217" t="s">
        <v>986</v>
      </c>
      <c r="C67" s="215" t="s">
        <v>1767</v>
      </c>
      <c r="D67" s="227">
        <v>2.71</v>
      </c>
    </row>
    <row r="68" spans="1:4" s="193" customFormat="1" ht="13.5" x14ac:dyDescent="0.25">
      <c r="A68" s="217">
        <v>60404</v>
      </c>
      <c r="B68" s="217" t="s">
        <v>984</v>
      </c>
      <c r="C68" s="215" t="s">
        <v>1768</v>
      </c>
      <c r="D68" s="227">
        <v>1.4</v>
      </c>
    </row>
    <row r="69" spans="1:4" s="193" customFormat="1" ht="13.5" x14ac:dyDescent="0.25">
      <c r="A69" s="217">
        <v>60376</v>
      </c>
      <c r="B69" s="217" t="s">
        <v>1769</v>
      </c>
      <c r="C69" s="215" t="s">
        <v>1770</v>
      </c>
      <c r="D69" s="227">
        <v>1.21</v>
      </c>
    </row>
    <row r="70" spans="1:4" s="193" customFormat="1" ht="13.5" x14ac:dyDescent="0.25">
      <c r="A70" s="217">
        <v>60401</v>
      </c>
      <c r="B70" s="217" t="s">
        <v>921</v>
      </c>
      <c r="C70" s="215" t="s">
        <v>1771</v>
      </c>
      <c r="D70" s="227">
        <v>1.8</v>
      </c>
    </row>
    <row r="71" spans="1:4" s="193" customFormat="1" ht="13.5" x14ac:dyDescent="0.25">
      <c r="A71" s="217">
        <v>60435</v>
      </c>
      <c r="B71" s="217" t="s">
        <v>1772</v>
      </c>
      <c r="C71" s="215" t="s">
        <v>1773</v>
      </c>
      <c r="D71" s="227">
        <v>3</v>
      </c>
    </row>
    <row r="72" spans="1:4" s="193" customFormat="1" ht="13.5" x14ac:dyDescent="0.25">
      <c r="A72" s="224"/>
      <c r="B72" s="224"/>
      <c r="C72" s="214" t="s">
        <v>1774</v>
      </c>
      <c r="D72" s="228"/>
    </row>
    <row r="73" spans="1:4" s="193" customFormat="1" ht="13.5" x14ac:dyDescent="0.25">
      <c r="A73" s="217">
        <v>60438</v>
      </c>
      <c r="B73" s="217" t="s">
        <v>1775</v>
      </c>
      <c r="C73" s="215" t="s">
        <v>1776</v>
      </c>
      <c r="D73" s="227">
        <v>1.5</v>
      </c>
    </row>
    <row r="74" spans="1:4" s="193" customFormat="1" ht="13.5" x14ac:dyDescent="0.25">
      <c r="A74" s="217">
        <v>60437</v>
      </c>
      <c r="B74" s="217" t="s">
        <v>1777</v>
      </c>
      <c r="C74" s="215" t="s">
        <v>1778</v>
      </c>
      <c r="D74" s="227">
        <v>1.5</v>
      </c>
    </row>
    <row r="75" spans="1:4" s="193" customFormat="1" ht="13.5" x14ac:dyDescent="0.25">
      <c r="A75" s="217">
        <v>61137</v>
      </c>
      <c r="B75" s="217" t="s">
        <v>1779</v>
      </c>
      <c r="C75" s="215" t="s">
        <v>1780</v>
      </c>
      <c r="D75" s="227">
        <v>3.5</v>
      </c>
    </row>
    <row r="76" spans="1:4" s="193" customFormat="1" ht="13.5" x14ac:dyDescent="0.25">
      <c r="A76" s="217">
        <v>99030</v>
      </c>
      <c r="B76" s="217" t="s">
        <v>1781</v>
      </c>
      <c r="C76" s="215" t="s">
        <v>1782</v>
      </c>
      <c r="D76" s="227">
        <v>1.84</v>
      </c>
    </row>
    <row r="77" spans="1:4" s="193" customFormat="1" ht="13.5" x14ac:dyDescent="0.25">
      <c r="A77" s="224"/>
      <c r="B77" s="224"/>
      <c r="C77" s="214" t="s">
        <v>1783</v>
      </c>
      <c r="D77" s="228"/>
    </row>
    <row r="78" spans="1:4" s="193" customFormat="1" ht="13.5" x14ac:dyDescent="0.25">
      <c r="A78" s="217">
        <v>60845</v>
      </c>
      <c r="B78" s="217" t="s">
        <v>1784</v>
      </c>
      <c r="C78" s="215" t="s">
        <v>1785</v>
      </c>
      <c r="D78" s="227">
        <v>1.6</v>
      </c>
    </row>
    <row r="79" spans="1:4" s="193" customFormat="1" ht="13.5" x14ac:dyDescent="0.25">
      <c r="A79" s="217">
        <v>60866</v>
      </c>
      <c r="B79" s="217" t="s">
        <v>1048</v>
      </c>
      <c r="C79" s="215" t="s">
        <v>1786</v>
      </c>
      <c r="D79" s="227">
        <v>2</v>
      </c>
    </row>
    <row r="80" spans="1:4" s="193" customFormat="1" ht="13.5" x14ac:dyDescent="0.25">
      <c r="A80" s="217">
        <v>60824</v>
      </c>
      <c r="B80" s="217" t="s">
        <v>1787</v>
      </c>
      <c r="C80" s="215" t="s">
        <v>1788</v>
      </c>
      <c r="D80" s="227">
        <v>1.35</v>
      </c>
    </row>
    <row r="81" spans="1:4" s="193" customFormat="1" ht="13.5" x14ac:dyDescent="0.25">
      <c r="A81" s="217">
        <v>60825</v>
      </c>
      <c r="B81" s="217" t="s">
        <v>1789</v>
      </c>
      <c r="C81" s="215" t="s">
        <v>1790</v>
      </c>
      <c r="D81" s="227">
        <v>4.34</v>
      </c>
    </row>
    <row r="82" spans="1:4" s="193" customFormat="1" ht="13.5" x14ac:dyDescent="0.25">
      <c r="A82" s="217">
        <v>61104</v>
      </c>
      <c r="B82" s="217" t="s">
        <v>1791</v>
      </c>
      <c r="C82" s="215" t="s">
        <v>1792</v>
      </c>
      <c r="D82" s="227">
        <v>2</v>
      </c>
    </row>
    <row r="83" spans="1:4" s="193" customFormat="1" ht="13.5" x14ac:dyDescent="0.25">
      <c r="A83" s="224"/>
      <c r="B83" s="224"/>
      <c r="C83" s="214" t="s">
        <v>1793</v>
      </c>
      <c r="D83" s="228"/>
    </row>
    <row r="84" spans="1:4" s="193" customFormat="1" ht="13.5" x14ac:dyDescent="0.25">
      <c r="A84" s="217">
        <v>61002</v>
      </c>
      <c r="B84" s="217" t="s">
        <v>1794</v>
      </c>
      <c r="C84" s="215" t="s">
        <v>1795</v>
      </c>
      <c r="D84" s="227">
        <v>2</v>
      </c>
    </row>
    <row r="85" spans="1:4" s="193" customFormat="1" ht="13.5" x14ac:dyDescent="0.25">
      <c r="A85" s="217">
        <v>61004</v>
      </c>
      <c r="B85" s="217" t="s">
        <v>1145</v>
      </c>
      <c r="C85" s="215" t="s">
        <v>1796</v>
      </c>
      <c r="D85" s="227">
        <v>2</v>
      </c>
    </row>
    <row r="86" spans="1:4" s="193" customFormat="1" ht="13.5" x14ac:dyDescent="0.25">
      <c r="A86" s="217">
        <v>61024</v>
      </c>
      <c r="B86" s="217" t="s">
        <v>1797</v>
      </c>
      <c r="C86" s="215" t="s">
        <v>1798</v>
      </c>
      <c r="D86" s="227">
        <v>1.35</v>
      </c>
    </row>
    <row r="87" spans="1:4" s="193" customFormat="1" ht="13.5" x14ac:dyDescent="0.25">
      <c r="A87" s="217">
        <v>61087</v>
      </c>
      <c r="B87" s="217" t="s">
        <v>1799</v>
      </c>
      <c r="C87" s="215" t="s">
        <v>1800</v>
      </c>
      <c r="D87" s="227">
        <v>4</v>
      </c>
    </row>
    <row r="88" spans="1:4" s="193" customFormat="1" ht="13.5" x14ac:dyDescent="0.25">
      <c r="A88" s="224"/>
      <c r="B88" s="224"/>
      <c r="C88" s="214" t="s">
        <v>223</v>
      </c>
      <c r="D88" s="228"/>
    </row>
    <row r="89" spans="1:4" s="193" customFormat="1" ht="13.5" x14ac:dyDescent="0.25">
      <c r="A89" s="217">
        <v>61061</v>
      </c>
      <c r="B89" s="217" t="s">
        <v>1801</v>
      </c>
      <c r="C89" s="215" t="s">
        <v>223</v>
      </c>
      <c r="D89" s="227">
        <v>3.97</v>
      </c>
    </row>
    <row r="90" spans="1:4" s="193" customFormat="1" ht="13.5" x14ac:dyDescent="0.25">
      <c r="A90" s="217">
        <v>61062</v>
      </c>
      <c r="B90" s="217" t="s">
        <v>1802</v>
      </c>
      <c r="C90" s="215" t="s">
        <v>1803</v>
      </c>
      <c r="D90" s="227">
        <v>3.61</v>
      </c>
    </row>
    <row r="91" spans="1:4" s="193" customFormat="1" ht="13.5" x14ac:dyDescent="0.25">
      <c r="A91" s="224"/>
      <c r="B91" s="224"/>
      <c r="C91" s="214" t="s">
        <v>1804</v>
      </c>
      <c r="D91" s="228"/>
    </row>
    <row r="92" spans="1:4" s="193" customFormat="1" ht="13.5" x14ac:dyDescent="0.25">
      <c r="A92" s="217">
        <v>61066</v>
      </c>
      <c r="B92" s="217" t="s">
        <v>1805</v>
      </c>
      <c r="C92" s="215" t="s">
        <v>1804</v>
      </c>
      <c r="D92" s="227">
        <v>4</v>
      </c>
    </row>
    <row r="93" spans="1:4" s="193" customFormat="1" ht="13.5" x14ac:dyDescent="0.25">
      <c r="A93" s="224"/>
      <c r="B93" s="224"/>
      <c r="C93" s="214" t="s">
        <v>1806</v>
      </c>
      <c r="D93" s="228"/>
    </row>
    <row r="94" spans="1:4" s="193" customFormat="1" ht="13.5" x14ac:dyDescent="0.25">
      <c r="A94" s="217">
        <v>60349</v>
      </c>
      <c r="B94" s="217" t="s">
        <v>729</v>
      </c>
      <c r="C94" s="215" t="s">
        <v>1807</v>
      </c>
      <c r="D94" s="227">
        <v>4</v>
      </c>
    </row>
    <row r="95" spans="1:4" s="193" customFormat="1" ht="13.5" x14ac:dyDescent="0.25">
      <c r="A95" s="217"/>
      <c r="B95" s="217"/>
      <c r="C95" s="214" t="s">
        <v>2992</v>
      </c>
      <c r="D95" s="227"/>
    </row>
    <row r="96" spans="1:4" s="193" customFormat="1" ht="13.5" x14ac:dyDescent="0.25">
      <c r="A96" s="217">
        <v>61351</v>
      </c>
      <c r="B96" s="217" t="s">
        <v>2993</v>
      </c>
      <c r="C96" s="467" t="s">
        <v>2994</v>
      </c>
      <c r="D96" s="227">
        <v>200</v>
      </c>
    </row>
    <row r="97" spans="1:4" s="193" customFormat="1" ht="13.5" x14ac:dyDescent="0.25">
      <c r="A97" s="219">
        <v>61352</v>
      </c>
      <c r="B97" s="219" t="s">
        <v>2995</v>
      </c>
      <c r="C97" s="225" t="s">
        <v>2996</v>
      </c>
      <c r="D97" s="229">
        <v>100</v>
      </c>
    </row>
    <row r="98" spans="1:4" s="193" customFormat="1" ht="13.5" x14ac:dyDescent="0.25">
      <c r="A98" s="213"/>
      <c r="B98" s="213"/>
      <c r="C98" s="223"/>
      <c r="D98" s="213"/>
    </row>
    <row r="99" spans="1:4" s="193" customFormat="1" ht="13.5" x14ac:dyDescent="0.25">
      <c r="A99" s="194" t="s">
        <v>1808</v>
      </c>
    </row>
    <row r="100" spans="1:4" s="193" customFormat="1" ht="13.5" x14ac:dyDescent="0.25"/>
    <row r="101" spans="1:4" s="193" customFormat="1" ht="13.5" x14ac:dyDescent="0.25"/>
    <row r="102" spans="1:4" s="193" customFormat="1" ht="13.5" x14ac:dyDescent="0.25"/>
    <row r="103" spans="1:4" s="193" customFormat="1" ht="13.5" x14ac:dyDescent="0.25"/>
    <row r="104" spans="1:4" s="193" customFormat="1" ht="13.5" x14ac:dyDescent="0.25"/>
    <row r="105" spans="1:4" s="193" customFormat="1" ht="13.5" x14ac:dyDescent="0.25"/>
    <row r="106" spans="1:4" s="193" customFormat="1" ht="13.5" x14ac:dyDescent="0.25"/>
    <row r="107" spans="1:4" s="193" customFormat="1" ht="13.5" x14ac:dyDescent="0.25"/>
    <row r="108" spans="1:4" s="193" customFormat="1" ht="13.5" x14ac:dyDescent="0.25"/>
    <row r="109" spans="1:4" s="193" customFormat="1" ht="13.5" x14ac:dyDescent="0.25"/>
    <row r="110" spans="1:4" s="193" customFormat="1" ht="13.5" x14ac:dyDescent="0.25"/>
    <row r="111" spans="1:4" s="193" customFormat="1" ht="13.5" x14ac:dyDescent="0.25"/>
    <row r="112" spans="1:4" s="193" customFormat="1" ht="13.5" x14ac:dyDescent="0.25"/>
    <row r="113" s="193" customFormat="1" ht="13.5" x14ac:dyDescent="0.25"/>
    <row r="114" s="193" customFormat="1" ht="13.5" x14ac:dyDescent="0.25"/>
    <row r="115" s="193" customFormat="1" ht="13.5" x14ac:dyDescent="0.25"/>
    <row r="116" s="193" customFormat="1" ht="13.5" x14ac:dyDescent="0.25"/>
    <row r="117" s="193" customFormat="1" ht="13.5" x14ac:dyDescent="0.25"/>
    <row r="118" s="193" customFormat="1" ht="13.5" x14ac:dyDescent="0.25"/>
    <row r="119" s="193" customFormat="1" ht="13.5" x14ac:dyDescent="0.25"/>
    <row r="120" s="193" customFormat="1" ht="13.5" x14ac:dyDescent="0.25"/>
    <row r="121" s="193" customFormat="1" ht="13.5" x14ac:dyDescent="0.25"/>
    <row r="122" s="193" customFormat="1" ht="13.5" x14ac:dyDescent="0.25"/>
    <row r="123" s="193" customFormat="1" ht="13.5" x14ac:dyDescent="0.25"/>
    <row r="124" s="193" customFormat="1" ht="13.5" x14ac:dyDescent="0.25"/>
    <row r="125" s="193" customFormat="1" ht="13.5" x14ac:dyDescent="0.25"/>
    <row r="126" s="193" customFormat="1" ht="13.5" x14ac:dyDescent="0.25"/>
    <row r="127" s="193" customFormat="1" ht="13.5" x14ac:dyDescent="0.25"/>
    <row r="128" s="193" customFormat="1" ht="13.5" x14ac:dyDescent="0.25"/>
    <row r="129" s="193" customFormat="1" ht="13.5" x14ac:dyDescent="0.25"/>
    <row r="130" s="193" customFormat="1" ht="13.5" x14ac:dyDescent="0.25"/>
    <row r="131" s="193" customFormat="1" ht="13.5" x14ac:dyDescent="0.25"/>
    <row r="132" s="193" customFormat="1" ht="13.5" x14ac:dyDescent="0.25"/>
    <row r="133" s="193" customFormat="1" ht="13.5" x14ac:dyDescent="0.25"/>
    <row r="134" s="193" customFormat="1" ht="13.5" x14ac:dyDescent="0.25"/>
    <row r="135" s="193" customFormat="1" ht="13.5" x14ac:dyDescent="0.25"/>
    <row r="136" s="193" customFormat="1" ht="13.5" x14ac:dyDescent="0.25"/>
    <row r="137" s="193" customFormat="1" ht="13.5" x14ac:dyDescent="0.25"/>
    <row r="138" s="193" customFormat="1" ht="13.5" x14ac:dyDescent="0.25"/>
    <row r="139" s="193" customFormat="1" ht="13.5" x14ac:dyDescent="0.25"/>
    <row r="140" s="193" customFormat="1" ht="13.5" x14ac:dyDescent="0.25"/>
    <row r="141" s="193" customFormat="1" ht="13.5" x14ac:dyDescent="0.25"/>
    <row r="142" s="193" customFormat="1" ht="13.5" x14ac:dyDescent="0.25"/>
    <row r="143" s="193" customFormat="1" ht="13.5" x14ac:dyDescent="0.25"/>
    <row r="144" s="193" customFormat="1" ht="13.5" x14ac:dyDescent="0.25"/>
    <row r="145" s="193" customFormat="1" ht="13.5" x14ac:dyDescent="0.25"/>
    <row r="146" s="193" customFormat="1" ht="13.5" x14ac:dyDescent="0.25"/>
    <row r="147" s="193" customFormat="1" ht="13.5" x14ac:dyDescent="0.25"/>
    <row r="148" s="193" customFormat="1" ht="13.5" x14ac:dyDescent="0.25"/>
    <row r="149" s="193" customFormat="1" ht="13.5" x14ac:dyDescent="0.25"/>
    <row r="150" s="193" customFormat="1" ht="13.5" x14ac:dyDescent="0.25"/>
    <row r="151" s="193" customFormat="1" ht="13.5" x14ac:dyDescent="0.25"/>
    <row r="152" s="193" customFormat="1" ht="13.5" x14ac:dyDescent="0.25"/>
    <row r="153" s="193" customFormat="1" ht="13.5" x14ac:dyDescent="0.25"/>
    <row r="154" s="193" customFormat="1" ht="13.5" x14ac:dyDescent="0.25"/>
    <row r="155" s="193" customFormat="1" ht="13.5" x14ac:dyDescent="0.25"/>
    <row r="156" s="193" customFormat="1" ht="13.5" x14ac:dyDescent="0.25"/>
    <row r="157" s="193" customFormat="1" ht="13.5" x14ac:dyDescent="0.25"/>
    <row r="158" s="193" customFormat="1" ht="13.5" x14ac:dyDescent="0.25"/>
    <row r="159" s="193" customFormat="1" ht="13.5" x14ac:dyDescent="0.25"/>
    <row r="160" s="193" customFormat="1" ht="13.5" x14ac:dyDescent="0.25"/>
    <row r="161" s="193" customFormat="1" ht="13.5" x14ac:dyDescent="0.25"/>
    <row r="162" s="193" customFormat="1" ht="13.5" x14ac:dyDescent="0.25"/>
    <row r="163" s="193" customFormat="1" ht="13.5" x14ac:dyDescent="0.25"/>
    <row r="164" s="193" customFormat="1" ht="13.5" x14ac:dyDescent="0.25"/>
    <row r="165" s="193" customFormat="1" ht="13.5" x14ac:dyDescent="0.25"/>
    <row r="166" s="193" customFormat="1" ht="13.5" x14ac:dyDescent="0.25"/>
    <row r="167" s="193" customFormat="1" ht="13.5" x14ac:dyDescent="0.25"/>
    <row r="168" s="193" customFormat="1" ht="13.5" x14ac:dyDescent="0.25"/>
    <row r="169" s="193" customFormat="1" ht="13.5" x14ac:dyDescent="0.25"/>
    <row r="170" s="193" customFormat="1" ht="13.5" x14ac:dyDescent="0.25"/>
    <row r="171" s="193" customFormat="1" ht="13.5" x14ac:dyDescent="0.25"/>
    <row r="172" s="193" customFormat="1" ht="13.5" x14ac:dyDescent="0.25"/>
    <row r="173" s="193" customFormat="1" ht="13.5" x14ac:dyDescent="0.25"/>
    <row r="174" s="193" customFormat="1" ht="13.5" x14ac:dyDescent="0.25"/>
    <row r="175" s="193" customFormat="1" ht="13.5" x14ac:dyDescent="0.25"/>
    <row r="176" s="193" customFormat="1" ht="13.5" x14ac:dyDescent="0.25"/>
    <row r="177" s="193" customFormat="1" ht="13.5" x14ac:dyDescent="0.25"/>
    <row r="178" s="193" customFormat="1" ht="13.5" x14ac:dyDescent="0.25"/>
    <row r="179" s="193" customFormat="1" ht="13.5" x14ac:dyDescent="0.25"/>
    <row r="180" s="193" customFormat="1" ht="13.5" x14ac:dyDescent="0.25"/>
    <row r="181" s="193" customFormat="1" ht="13.5" x14ac:dyDescent="0.25"/>
    <row r="182" s="193" customFormat="1" ht="13.5" x14ac:dyDescent="0.25"/>
    <row r="183" s="193" customFormat="1" ht="13.5" x14ac:dyDescent="0.25"/>
    <row r="184" s="193" customFormat="1" ht="13.5" x14ac:dyDescent="0.25"/>
    <row r="185" s="193" customFormat="1" ht="13.5" x14ac:dyDescent="0.25"/>
    <row r="186" s="193" customFormat="1" ht="13.5" x14ac:dyDescent="0.25"/>
    <row r="187" s="193" customFormat="1" ht="13.5" x14ac:dyDescent="0.25"/>
    <row r="188" s="193" customFormat="1" ht="13.5" x14ac:dyDescent="0.25"/>
    <row r="189" s="193" customFormat="1" ht="13.5" x14ac:dyDescent="0.25"/>
    <row r="190" s="193" customFormat="1" ht="13.5" x14ac:dyDescent="0.25"/>
    <row r="191" s="193" customFormat="1" ht="13.5" x14ac:dyDescent="0.25"/>
    <row r="192" s="193" customFormat="1" ht="13.5" x14ac:dyDescent="0.25"/>
    <row r="193" s="193" customFormat="1" ht="13.5" x14ac:dyDescent="0.25"/>
    <row r="194" s="193" customFormat="1" ht="13.5" x14ac:dyDescent="0.25"/>
    <row r="195" s="193" customFormat="1" ht="13.5" x14ac:dyDescent="0.25"/>
    <row r="196" s="193" customFormat="1" ht="13.5" x14ac:dyDescent="0.25"/>
    <row r="197" s="193" customFormat="1" ht="13.5" x14ac:dyDescent="0.25"/>
    <row r="198" s="193" customFormat="1" ht="13.5" x14ac:dyDescent="0.25"/>
    <row r="199" s="193" customFormat="1" ht="13.5" x14ac:dyDescent="0.25"/>
    <row r="200" s="193" customFormat="1" ht="13.5" x14ac:dyDescent="0.25"/>
    <row r="201" s="193" customFormat="1" ht="13.5" x14ac:dyDescent="0.25"/>
    <row r="202" s="193" customFormat="1" ht="13.5" x14ac:dyDescent="0.25"/>
    <row r="203" s="193" customFormat="1" ht="13.5" x14ac:dyDescent="0.25"/>
    <row r="204" s="193" customFormat="1" ht="13.5" x14ac:dyDescent="0.25"/>
    <row r="205" s="193" customFormat="1" ht="13.5" x14ac:dyDescent="0.25"/>
    <row r="206" s="193" customFormat="1" ht="13.5" x14ac:dyDescent="0.25"/>
    <row r="207" s="193" customFormat="1" ht="13.5" x14ac:dyDescent="0.25"/>
    <row r="208" s="193" customFormat="1" ht="13.5" x14ac:dyDescent="0.25"/>
    <row r="209" s="193" customFormat="1" ht="13.5" x14ac:dyDescent="0.25"/>
    <row r="210" s="193" customFormat="1" ht="13.5" x14ac:dyDescent="0.25"/>
    <row r="211" s="193" customFormat="1" ht="13.5" x14ac:dyDescent="0.25"/>
    <row r="212" s="193" customFormat="1" ht="13.5" x14ac:dyDescent="0.25"/>
    <row r="213" s="193" customFormat="1" ht="13.5" x14ac:dyDescent="0.25"/>
    <row r="214" s="193" customFormat="1" ht="13.5" x14ac:dyDescent="0.25"/>
    <row r="215" s="193" customFormat="1" ht="13.5" x14ac:dyDescent="0.25"/>
    <row r="216" s="193" customFormat="1" ht="13.5" x14ac:dyDescent="0.25"/>
    <row r="217" s="193" customFormat="1" ht="13.5" x14ac:dyDescent="0.25"/>
    <row r="218" s="193" customFormat="1" ht="13.5" x14ac:dyDescent="0.25"/>
    <row r="219" s="193" customFormat="1" ht="13.5" x14ac:dyDescent="0.25"/>
    <row r="220" s="193" customFormat="1" ht="13.5" x14ac:dyDescent="0.25"/>
    <row r="221" s="193" customFormat="1" ht="13.5" x14ac:dyDescent="0.25"/>
    <row r="222" s="193" customFormat="1" ht="13.5" x14ac:dyDescent="0.25"/>
    <row r="223" s="193" customFormat="1" ht="13.5" x14ac:dyDescent="0.25"/>
    <row r="224" s="193" customFormat="1" ht="13.5" x14ac:dyDescent="0.25"/>
    <row r="225" s="193" customFormat="1" ht="13.5" x14ac:dyDescent="0.25"/>
    <row r="226" s="193" customFormat="1" ht="13.5" x14ac:dyDescent="0.25"/>
    <row r="227" s="193" customFormat="1" ht="13.5" x14ac:dyDescent="0.25"/>
    <row r="228" s="193" customFormat="1" ht="13.5" x14ac:dyDescent="0.25"/>
    <row r="229" s="193" customFormat="1" ht="13.5" x14ac:dyDescent="0.25"/>
    <row r="230" s="193" customFormat="1" ht="13.5" x14ac:dyDescent="0.25"/>
    <row r="231" s="193" customFormat="1" ht="13.5" x14ac:dyDescent="0.25"/>
    <row r="232" s="193" customFormat="1" ht="13.5" x14ac:dyDescent="0.25"/>
    <row r="233" s="193" customFormat="1" ht="13.5" x14ac:dyDescent="0.25"/>
    <row r="234" s="193" customFormat="1" ht="13.5" x14ac:dyDescent="0.25"/>
    <row r="235" s="193" customFormat="1" ht="13.5" x14ac:dyDescent="0.25"/>
    <row r="236" s="193" customFormat="1" ht="13.5" x14ac:dyDescent="0.25"/>
    <row r="237" s="193" customFormat="1" ht="13.5" x14ac:dyDescent="0.25"/>
    <row r="238" s="193" customFormat="1" ht="13.5" x14ac:dyDescent="0.25"/>
    <row r="239" s="193" customFormat="1" ht="13.5" x14ac:dyDescent="0.25"/>
    <row r="240" s="193" customFormat="1" ht="13.5" x14ac:dyDescent="0.25"/>
    <row r="241" s="193" customFormat="1" ht="13.5" x14ac:dyDescent="0.25"/>
    <row r="242" s="193" customFormat="1" ht="13.5" x14ac:dyDescent="0.25"/>
    <row r="243" s="193" customFormat="1" ht="13.5" x14ac:dyDescent="0.25"/>
    <row r="244" s="193" customFormat="1" ht="13.5" x14ac:dyDescent="0.25"/>
    <row r="245" s="193" customFormat="1" ht="13.5" x14ac:dyDescent="0.25"/>
    <row r="246" s="193" customFormat="1" ht="13.5" x14ac:dyDescent="0.25"/>
    <row r="247" s="193" customFormat="1" ht="13.5" x14ac:dyDescent="0.25"/>
    <row r="248" s="193" customFormat="1" ht="13.5" x14ac:dyDescent="0.25"/>
    <row r="249" s="193" customFormat="1" ht="13.5" x14ac:dyDescent="0.25"/>
    <row r="250" s="193" customFormat="1" ht="13.5" x14ac:dyDescent="0.25"/>
    <row r="251" s="193" customFormat="1" ht="13.5" x14ac:dyDescent="0.25"/>
    <row r="252" s="193" customFormat="1" ht="13.5" x14ac:dyDescent="0.25"/>
    <row r="253" s="193" customFormat="1" ht="13.5" x14ac:dyDescent="0.25"/>
    <row r="254" s="193" customFormat="1" ht="13.5" x14ac:dyDescent="0.25"/>
    <row r="255" s="193" customFormat="1" ht="13.5" x14ac:dyDescent="0.25"/>
    <row r="256" s="193" customFormat="1" ht="13.5" x14ac:dyDescent="0.25"/>
    <row r="257" s="193" customFormat="1" ht="13.5" x14ac:dyDescent="0.25"/>
    <row r="258" s="193" customFormat="1" ht="13.5" x14ac:dyDescent="0.25"/>
    <row r="259" s="193" customFormat="1" ht="13.5" x14ac:dyDescent="0.25"/>
    <row r="260" s="193" customFormat="1" ht="13.5" x14ac:dyDescent="0.25"/>
    <row r="261" s="193" customFormat="1" ht="13.5" x14ac:dyDescent="0.25"/>
    <row r="262" s="193" customFormat="1" ht="13.5" x14ac:dyDescent="0.25"/>
    <row r="263" s="193" customFormat="1" ht="13.5" x14ac:dyDescent="0.25"/>
    <row r="264" s="193" customFormat="1" ht="13.5" x14ac:dyDescent="0.25"/>
    <row r="265" s="193" customFormat="1" ht="13.5" x14ac:dyDescent="0.25"/>
    <row r="266" s="193" customFormat="1" ht="13.5" x14ac:dyDescent="0.25"/>
    <row r="267" s="193" customFormat="1" ht="13.5" x14ac:dyDescent="0.25"/>
    <row r="268" s="193" customFormat="1" ht="13.5" x14ac:dyDescent="0.25"/>
    <row r="269" s="193" customFormat="1" ht="13.5" x14ac:dyDescent="0.25"/>
    <row r="270" s="193" customFormat="1" ht="13.5" x14ac:dyDescent="0.25"/>
    <row r="271" s="193" customFormat="1" ht="13.5" x14ac:dyDescent="0.25"/>
    <row r="272" s="193" customFormat="1" ht="13.5" x14ac:dyDescent="0.25"/>
    <row r="273" s="193" customFormat="1" ht="13.5" x14ac:dyDescent="0.25"/>
    <row r="274" s="193" customFormat="1" ht="13.5" x14ac:dyDescent="0.25"/>
    <row r="275" s="193" customFormat="1" ht="13.5" x14ac:dyDescent="0.25"/>
    <row r="276" s="193" customFormat="1" ht="13.5" x14ac:dyDescent="0.25"/>
    <row r="277" s="193" customFormat="1" ht="13.5" x14ac:dyDescent="0.25"/>
    <row r="278" s="193" customFormat="1" ht="13.5" x14ac:dyDescent="0.25"/>
    <row r="279" s="193" customFormat="1" ht="13.5" x14ac:dyDescent="0.25"/>
    <row r="280" s="193" customFormat="1" ht="13.5" x14ac:dyDescent="0.25"/>
    <row r="281" s="193" customFormat="1" ht="13.5" x14ac:dyDescent="0.25"/>
    <row r="282" s="193" customFormat="1" ht="13.5" x14ac:dyDescent="0.25"/>
    <row r="283" s="193" customFormat="1" ht="13.5" x14ac:dyDescent="0.25"/>
    <row r="284" s="193" customFormat="1" ht="13.5" x14ac:dyDescent="0.25"/>
    <row r="285" s="193" customFormat="1" ht="13.5" x14ac:dyDescent="0.25"/>
    <row r="286" s="193" customFormat="1" ht="13.5" x14ac:dyDescent="0.25"/>
    <row r="287" s="193" customFormat="1" ht="13.5" x14ac:dyDescent="0.25"/>
    <row r="288" s="193" customFormat="1" ht="13.5" x14ac:dyDescent="0.25"/>
    <row r="289" s="193" customFormat="1" ht="13.5" x14ac:dyDescent="0.25"/>
    <row r="290" s="193" customFormat="1" ht="13.5" x14ac:dyDescent="0.25"/>
    <row r="291" s="193" customFormat="1" ht="13.5" x14ac:dyDescent="0.25"/>
    <row r="292" s="193" customFormat="1" ht="13.5" x14ac:dyDescent="0.25"/>
    <row r="293" s="193" customFormat="1" ht="13.5" x14ac:dyDescent="0.25"/>
    <row r="294" s="193" customFormat="1" ht="13.5" x14ac:dyDescent="0.25"/>
    <row r="295" s="193" customFormat="1" ht="13.5" x14ac:dyDescent="0.25"/>
    <row r="296" s="193" customFormat="1" ht="13.5" x14ac:dyDescent="0.25"/>
    <row r="297" s="193" customFormat="1" ht="13.5" x14ac:dyDescent="0.25"/>
    <row r="298" s="193" customFormat="1" ht="13.5" x14ac:dyDescent="0.25"/>
    <row r="299" s="193" customFormat="1" ht="13.5" x14ac:dyDescent="0.25"/>
    <row r="300" s="193" customFormat="1" ht="13.5" x14ac:dyDescent="0.25"/>
    <row r="301" s="193" customFormat="1" ht="13.5" x14ac:dyDescent="0.25"/>
    <row r="302" s="193" customFormat="1" ht="13.5" x14ac:dyDescent="0.25"/>
    <row r="303" s="193" customFormat="1" ht="13.5" x14ac:dyDescent="0.25"/>
    <row r="304" s="193" customFormat="1" ht="13.5" x14ac:dyDescent="0.25"/>
    <row r="305" s="193" customFormat="1" ht="13.5" x14ac:dyDescent="0.25"/>
    <row r="306" s="193" customFormat="1" ht="13.5" x14ac:dyDescent="0.25"/>
    <row r="307" s="193" customFormat="1" ht="13.5" x14ac:dyDescent="0.25"/>
    <row r="308" s="193" customFormat="1" ht="13.5" x14ac:dyDescent="0.25"/>
    <row r="309" s="193" customFormat="1" ht="13.5" x14ac:dyDescent="0.25"/>
    <row r="310" s="193" customFormat="1" ht="13.5" x14ac:dyDescent="0.25"/>
    <row r="311" s="193" customFormat="1" ht="13.5" x14ac:dyDescent="0.25"/>
    <row r="312" s="193" customFormat="1" ht="13.5" x14ac:dyDescent="0.25"/>
    <row r="313" s="193" customFormat="1" ht="13.5" x14ac:dyDescent="0.25"/>
    <row r="314" s="193" customFormat="1" ht="13.5" x14ac:dyDescent="0.25"/>
    <row r="315" s="193" customFormat="1" ht="13.5" x14ac:dyDescent="0.25"/>
    <row r="316" s="193" customFormat="1" ht="13.5" x14ac:dyDescent="0.25"/>
    <row r="317" s="193" customFormat="1" ht="13.5" x14ac:dyDescent="0.25"/>
    <row r="318" s="193" customFormat="1" ht="13.5" x14ac:dyDescent="0.25"/>
    <row r="319" s="193" customFormat="1" ht="13.5" x14ac:dyDescent="0.25"/>
    <row r="320" s="193" customFormat="1" ht="13.5" x14ac:dyDescent="0.25"/>
    <row r="321" s="193" customFormat="1" ht="13.5" x14ac:dyDescent="0.25"/>
    <row r="322" s="193" customFormat="1" ht="13.5" x14ac:dyDescent="0.25"/>
    <row r="323" s="193" customFormat="1" ht="13.5" x14ac:dyDescent="0.25"/>
  </sheetData>
  <mergeCells count="4">
    <mergeCell ref="A3:B3"/>
    <mergeCell ref="C3:C4"/>
    <mergeCell ref="D3:D4"/>
    <mergeCell ref="A1:D1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B4385-5571-428F-A3DB-BF846C832A72}">
  <dimension ref="A1:D319"/>
  <sheetViews>
    <sheetView showGridLines="0" showRowColHeaders="0" workbookViewId="0">
      <selection activeCell="C20" sqref="C20"/>
    </sheetView>
  </sheetViews>
  <sheetFormatPr defaultColWidth="8.7109375" defaultRowHeight="12.75" x14ac:dyDescent="0.2"/>
  <cols>
    <col min="1" max="2" width="6.42578125" style="191" customWidth="1"/>
    <col min="3" max="3" width="55.42578125" style="192" customWidth="1"/>
    <col min="4" max="4" width="7.28515625" style="191" customWidth="1"/>
    <col min="5" max="16384" width="8.7109375" style="191"/>
  </cols>
  <sheetData>
    <row r="1" spans="1:4" ht="38.1" customHeight="1" x14ac:dyDescent="0.2">
      <c r="A1" s="489" t="s">
        <v>1809</v>
      </c>
      <c r="B1" s="489"/>
      <c r="C1" s="489"/>
      <c r="D1" s="489"/>
    </row>
    <row r="2" spans="1:4" s="193" customFormat="1" ht="13.5" x14ac:dyDescent="0.25">
      <c r="C2" s="195"/>
    </row>
    <row r="3" spans="1:4" s="193" customFormat="1" ht="23.1" customHeight="1" x14ac:dyDescent="0.25">
      <c r="A3" s="501" t="s">
        <v>363</v>
      </c>
      <c r="B3" s="501"/>
      <c r="C3" s="501" t="s">
        <v>1448</v>
      </c>
      <c r="D3" s="501" t="s">
        <v>1449</v>
      </c>
    </row>
    <row r="4" spans="1:4" s="193" customFormat="1" ht="13.5" x14ac:dyDescent="0.25">
      <c r="A4" s="226" t="s">
        <v>367</v>
      </c>
      <c r="B4" s="226" t="s">
        <v>368</v>
      </c>
      <c r="C4" s="501"/>
      <c r="D4" s="501"/>
    </row>
    <row r="5" spans="1:4" s="193" customFormat="1" ht="13.5" x14ac:dyDescent="0.25">
      <c r="A5" s="224"/>
      <c r="B5" s="224"/>
      <c r="C5" s="214" t="s">
        <v>1810</v>
      </c>
      <c r="D5" s="224"/>
    </row>
    <row r="6" spans="1:4" s="193" customFormat="1" ht="13.5" x14ac:dyDescent="0.25">
      <c r="A6" s="217">
        <v>78005</v>
      </c>
      <c r="B6" s="217" t="s">
        <v>895</v>
      </c>
      <c r="C6" s="215" t="s">
        <v>1811</v>
      </c>
      <c r="D6" s="227">
        <v>4.3499999999999996</v>
      </c>
    </row>
    <row r="7" spans="1:4" s="193" customFormat="1" ht="13.5" x14ac:dyDescent="0.25">
      <c r="A7" s="217">
        <v>78010</v>
      </c>
      <c r="B7" s="217" t="s">
        <v>1688</v>
      </c>
      <c r="C7" s="215" t="s">
        <v>1812</v>
      </c>
      <c r="D7" s="227">
        <v>4.3499999999999996</v>
      </c>
    </row>
    <row r="8" spans="1:4" s="193" customFormat="1" ht="13.5" x14ac:dyDescent="0.25">
      <c r="A8" s="217">
        <v>78028</v>
      </c>
      <c r="B8" s="217" t="s">
        <v>1813</v>
      </c>
      <c r="C8" s="215" t="s">
        <v>1814</v>
      </c>
      <c r="D8" s="227">
        <v>4.3499999999999996</v>
      </c>
    </row>
    <row r="9" spans="1:4" s="193" customFormat="1" ht="13.5" x14ac:dyDescent="0.25">
      <c r="A9" s="217">
        <v>78024</v>
      </c>
      <c r="B9" s="217" t="s">
        <v>1772</v>
      </c>
      <c r="C9" s="215" t="s">
        <v>1815</v>
      </c>
      <c r="D9" s="227">
        <v>6</v>
      </c>
    </row>
    <row r="10" spans="1:4" s="193" customFormat="1" ht="13.5" x14ac:dyDescent="0.25">
      <c r="A10" s="217">
        <v>78026</v>
      </c>
      <c r="B10" s="217" t="s">
        <v>976</v>
      </c>
      <c r="C10" s="215" t="s">
        <v>1816</v>
      </c>
      <c r="D10" s="227">
        <v>7</v>
      </c>
    </row>
    <row r="11" spans="1:4" s="193" customFormat="1" ht="13.5" x14ac:dyDescent="0.25">
      <c r="A11" s="224"/>
      <c r="B11" s="224"/>
      <c r="C11" s="214" t="s">
        <v>1817</v>
      </c>
      <c r="D11" s="228"/>
    </row>
    <row r="12" spans="1:4" s="193" customFormat="1" ht="13.5" x14ac:dyDescent="0.25">
      <c r="A12" s="217">
        <v>78030</v>
      </c>
      <c r="B12" s="217" t="s">
        <v>1575</v>
      </c>
      <c r="C12" s="215" t="s">
        <v>1818</v>
      </c>
      <c r="D12" s="227">
        <v>4.3499999999999996</v>
      </c>
    </row>
    <row r="13" spans="1:4" s="193" customFormat="1" ht="13.5" x14ac:dyDescent="0.25">
      <c r="A13" s="217">
        <v>78035</v>
      </c>
      <c r="B13" s="217" t="s">
        <v>1577</v>
      </c>
      <c r="C13" s="215" t="s">
        <v>1819</v>
      </c>
      <c r="D13" s="227">
        <v>3.42</v>
      </c>
    </row>
    <row r="14" spans="1:4" s="193" customFormat="1" ht="13.5" x14ac:dyDescent="0.25">
      <c r="A14" s="217">
        <v>78036</v>
      </c>
      <c r="B14" s="217" t="s">
        <v>1580</v>
      </c>
      <c r="C14" s="215" t="s">
        <v>1820</v>
      </c>
      <c r="D14" s="227">
        <v>4.3499999999999996</v>
      </c>
    </row>
    <row r="15" spans="1:4" s="193" customFormat="1" ht="13.5" x14ac:dyDescent="0.25">
      <c r="A15" s="217">
        <v>78037</v>
      </c>
      <c r="B15" s="217" t="s">
        <v>1582</v>
      </c>
      <c r="C15" s="215" t="s">
        <v>1821</v>
      </c>
      <c r="D15" s="227">
        <v>4.3499999999999996</v>
      </c>
    </row>
    <row r="16" spans="1:4" s="193" customFormat="1" ht="13.5" x14ac:dyDescent="0.25">
      <c r="A16" s="217">
        <v>78038</v>
      </c>
      <c r="B16" s="217" t="s">
        <v>1436</v>
      </c>
      <c r="C16" s="215" t="s">
        <v>1822</v>
      </c>
      <c r="D16" s="227">
        <v>4.3499999999999996</v>
      </c>
    </row>
    <row r="17" spans="1:4" s="193" customFormat="1" ht="27" x14ac:dyDescent="0.25">
      <c r="A17" s="217">
        <v>78039</v>
      </c>
      <c r="B17" s="217" t="s">
        <v>1648</v>
      </c>
      <c r="C17" s="215" t="s">
        <v>1823</v>
      </c>
      <c r="D17" s="227">
        <v>11.97</v>
      </c>
    </row>
    <row r="18" spans="1:4" s="193" customFormat="1" ht="13.5" x14ac:dyDescent="0.25">
      <c r="A18" s="224"/>
      <c r="B18" s="224"/>
      <c r="C18" s="214" t="s">
        <v>1824</v>
      </c>
      <c r="D18" s="228"/>
    </row>
    <row r="19" spans="1:4" s="193" customFormat="1" ht="13.5" x14ac:dyDescent="0.25">
      <c r="A19" s="217">
        <v>78045</v>
      </c>
      <c r="B19" s="217" t="s">
        <v>926</v>
      </c>
      <c r="C19" s="215" t="s">
        <v>1825</v>
      </c>
      <c r="D19" s="227">
        <v>64.900000000000006</v>
      </c>
    </row>
    <row r="20" spans="1:4" s="193" customFormat="1" ht="13.5" x14ac:dyDescent="0.25">
      <c r="A20" s="217">
        <v>78050</v>
      </c>
      <c r="B20" s="217" t="s">
        <v>958</v>
      </c>
      <c r="C20" s="215" t="s">
        <v>1826</v>
      </c>
      <c r="D20" s="227">
        <v>56.45</v>
      </c>
    </row>
    <row r="21" spans="1:4" s="193" customFormat="1" ht="13.5" x14ac:dyDescent="0.25">
      <c r="A21" s="217">
        <v>78052</v>
      </c>
      <c r="B21" s="217" t="s">
        <v>1431</v>
      </c>
      <c r="C21" s="215" t="s">
        <v>1827</v>
      </c>
      <c r="D21" s="227">
        <v>56.45</v>
      </c>
    </row>
    <row r="22" spans="1:4" s="193" customFormat="1" ht="27" x14ac:dyDescent="0.25">
      <c r="A22" s="224"/>
      <c r="B22" s="224"/>
      <c r="C22" s="215" t="s">
        <v>1828</v>
      </c>
      <c r="D22" s="228"/>
    </row>
    <row r="23" spans="1:4" s="193" customFormat="1" ht="13.5" x14ac:dyDescent="0.25">
      <c r="A23" s="224"/>
      <c r="B23" s="224"/>
      <c r="C23" s="214" t="s">
        <v>1829</v>
      </c>
      <c r="D23" s="228"/>
    </row>
    <row r="24" spans="1:4" s="193" customFormat="1" ht="27" x14ac:dyDescent="0.25">
      <c r="A24" s="217">
        <v>78029</v>
      </c>
      <c r="B24" s="217" t="s">
        <v>1741</v>
      </c>
      <c r="C24" s="215" t="s">
        <v>1830</v>
      </c>
      <c r="D24" s="227">
        <v>6.56</v>
      </c>
    </row>
    <row r="25" spans="1:4" s="193" customFormat="1" ht="13.5" x14ac:dyDescent="0.25">
      <c r="A25" s="224"/>
      <c r="B25" s="224"/>
      <c r="C25" s="214" t="s">
        <v>1831</v>
      </c>
      <c r="D25" s="228"/>
    </row>
    <row r="26" spans="1:4" s="193" customFormat="1" ht="13.5" x14ac:dyDescent="0.25">
      <c r="A26" s="217">
        <v>78090</v>
      </c>
      <c r="B26" s="217" t="s">
        <v>1832</v>
      </c>
      <c r="C26" s="215" t="s">
        <v>1833</v>
      </c>
      <c r="D26" s="227">
        <v>6.56</v>
      </c>
    </row>
    <row r="27" spans="1:4" s="193" customFormat="1" ht="27" x14ac:dyDescent="0.25">
      <c r="A27" s="224"/>
      <c r="B27" s="224"/>
      <c r="C27" s="215" t="s">
        <v>1834</v>
      </c>
      <c r="D27" s="228"/>
    </row>
    <row r="28" spans="1:4" s="193" customFormat="1" ht="27" x14ac:dyDescent="0.25">
      <c r="A28" s="217">
        <v>78108</v>
      </c>
      <c r="B28" s="217" t="s">
        <v>1414</v>
      </c>
      <c r="C28" s="215" t="s">
        <v>1835</v>
      </c>
      <c r="D28" s="227">
        <v>17.11</v>
      </c>
    </row>
    <row r="29" spans="1:4" s="193" customFormat="1" ht="13.5" x14ac:dyDescent="0.25">
      <c r="A29" s="224"/>
      <c r="B29" s="224"/>
      <c r="C29" s="214" t="s">
        <v>220</v>
      </c>
      <c r="D29" s="228"/>
    </row>
    <row r="30" spans="1:4" s="193" customFormat="1" ht="13.5" x14ac:dyDescent="0.25">
      <c r="A30" s="217">
        <v>78125</v>
      </c>
      <c r="B30" s="217" t="s">
        <v>1836</v>
      </c>
      <c r="C30" s="215" t="s">
        <v>1837</v>
      </c>
      <c r="D30" s="227">
        <v>8.5500000000000007</v>
      </c>
    </row>
    <row r="31" spans="1:4" s="193" customFormat="1" ht="13.5" x14ac:dyDescent="0.25">
      <c r="A31" s="217">
        <v>78130</v>
      </c>
      <c r="B31" s="217" t="s">
        <v>935</v>
      </c>
      <c r="C31" s="215" t="s">
        <v>1838</v>
      </c>
      <c r="D31" s="227">
        <v>9.3000000000000007</v>
      </c>
    </row>
    <row r="32" spans="1:4" s="193" customFormat="1" ht="13.5" x14ac:dyDescent="0.25">
      <c r="A32" s="217">
        <v>78175</v>
      </c>
      <c r="B32" s="217" t="s">
        <v>1761</v>
      </c>
      <c r="C32" s="215" t="s">
        <v>1839</v>
      </c>
      <c r="D32" s="227">
        <v>12.46</v>
      </c>
    </row>
    <row r="33" spans="1:4" s="193" customFormat="1" ht="13.5" x14ac:dyDescent="0.25">
      <c r="A33" s="224"/>
      <c r="B33" s="224"/>
      <c r="C33" s="214" t="s">
        <v>1840</v>
      </c>
      <c r="D33" s="228"/>
    </row>
    <row r="34" spans="1:4" s="193" customFormat="1" ht="13.5" x14ac:dyDescent="0.25">
      <c r="A34" s="217">
        <v>78185</v>
      </c>
      <c r="B34" s="217" t="s">
        <v>956</v>
      </c>
      <c r="C34" s="215" t="s">
        <v>1841</v>
      </c>
      <c r="D34" s="227">
        <v>5</v>
      </c>
    </row>
    <row r="35" spans="1:4" s="193" customFormat="1" ht="13.5" x14ac:dyDescent="0.25">
      <c r="A35" s="217">
        <v>78200</v>
      </c>
      <c r="B35" s="217" t="s">
        <v>1842</v>
      </c>
      <c r="C35" s="215" t="s">
        <v>1843</v>
      </c>
      <c r="D35" s="227">
        <v>5.39</v>
      </c>
    </row>
    <row r="36" spans="1:4" s="193" customFormat="1" ht="13.5" x14ac:dyDescent="0.25">
      <c r="A36" s="224"/>
      <c r="B36" s="224"/>
      <c r="C36" s="215" t="s">
        <v>1844</v>
      </c>
      <c r="D36" s="228"/>
    </row>
    <row r="37" spans="1:4" s="193" customFormat="1" ht="27" x14ac:dyDescent="0.25">
      <c r="A37" s="224"/>
      <c r="B37" s="224"/>
      <c r="C37" s="215" t="s">
        <v>1845</v>
      </c>
      <c r="D37" s="228"/>
    </row>
    <row r="38" spans="1:4" s="193" customFormat="1" ht="13.5" x14ac:dyDescent="0.25">
      <c r="A38" s="224"/>
      <c r="B38" s="224"/>
      <c r="C38" s="214" t="s">
        <v>1846</v>
      </c>
      <c r="D38" s="228"/>
    </row>
    <row r="39" spans="1:4" s="193" customFormat="1" ht="13.5" x14ac:dyDescent="0.25">
      <c r="A39" s="217">
        <v>78230</v>
      </c>
      <c r="B39" s="217" t="s">
        <v>1847</v>
      </c>
      <c r="C39" s="215" t="s">
        <v>1848</v>
      </c>
      <c r="D39" s="227">
        <v>8.09</v>
      </c>
    </row>
    <row r="40" spans="1:4" s="193" customFormat="1" ht="13.5" x14ac:dyDescent="0.25">
      <c r="A40" s="217">
        <v>78231</v>
      </c>
      <c r="B40" s="217" t="s">
        <v>994</v>
      </c>
      <c r="C40" s="215" t="s">
        <v>1849</v>
      </c>
      <c r="D40" s="227">
        <v>8.09</v>
      </c>
    </row>
    <row r="41" spans="1:4" s="193" customFormat="1" ht="40.5" x14ac:dyDescent="0.25">
      <c r="A41" s="224"/>
      <c r="B41" s="224"/>
      <c r="C41" s="215" t="s">
        <v>1850</v>
      </c>
      <c r="D41" s="228"/>
    </row>
    <row r="42" spans="1:4" s="193" customFormat="1" ht="13.5" x14ac:dyDescent="0.25">
      <c r="A42" s="224"/>
      <c r="B42" s="224"/>
      <c r="C42" s="214" t="s">
        <v>1851</v>
      </c>
      <c r="D42" s="228"/>
    </row>
    <row r="43" spans="1:4" s="193" customFormat="1" ht="13.5" x14ac:dyDescent="0.25">
      <c r="A43" s="217">
        <v>78235</v>
      </c>
      <c r="B43" s="217" t="s">
        <v>1852</v>
      </c>
      <c r="C43" s="215" t="s">
        <v>1853</v>
      </c>
      <c r="D43" s="227">
        <v>29.37</v>
      </c>
    </row>
    <row r="44" spans="1:4" s="193" customFormat="1" ht="40.5" x14ac:dyDescent="0.25">
      <c r="A44" s="224"/>
      <c r="B44" s="224"/>
      <c r="C44" s="215" t="s">
        <v>1854</v>
      </c>
      <c r="D44" s="228"/>
    </row>
    <row r="45" spans="1:4" s="193" customFormat="1" ht="27" x14ac:dyDescent="0.25">
      <c r="A45" s="224"/>
      <c r="B45" s="224"/>
      <c r="C45" s="215" t="s">
        <v>1855</v>
      </c>
      <c r="D45" s="228"/>
    </row>
    <row r="46" spans="1:4" s="193" customFormat="1" ht="13.5" x14ac:dyDescent="0.25">
      <c r="A46" s="217">
        <v>78240</v>
      </c>
      <c r="B46" s="217" t="s">
        <v>1856</v>
      </c>
      <c r="C46" s="215" t="s">
        <v>1857</v>
      </c>
      <c r="D46" s="227">
        <v>6.56</v>
      </c>
    </row>
    <row r="47" spans="1:4" s="193" customFormat="1" ht="13.5" x14ac:dyDescent="0.25">
      <c r="A47" s="224"/>
      <c r="B47" s="224"/>
      <c r="C47" s="214" t="s">
        <v>1858</v>
      </c>
      <c r="D47" s="228"/>
    </row>
    <row r="48" spans="1:4" s="193" customFormat="1" ht="13.5" x14ac:dyDescent="0.25">
      <c r="A48" s="224"/>
      <c r="B48" s="217" t="s">
        <v>1859</v>
      </c>
      <c r="C48" s="215" t="s">
        <v>1860</v>
      </c>
      <c r="D48" s="227">
        <v>25</v>
      </c>
    </row>
    <row r="49" spans="1:4" s="193" customFormat="1" ht="13.5" x14ac:dyDescent="0.25">
      <c r="A49" s="217">
        <v>78312</v>
      </c>
      <c r="B49" s="217" t="s">
        <v>1799</v>
      </c>
      <c r="C49" s="215" t="s">
        <v>1861</v>
      </c>
      <c r="D49" s="227">
        <v>3</v>
      </c>
    </row>
    <row r="50" spans="1:4" s="193" customFormat="1" ht="13.5" x14ac:dyDescent="0.25">
      <c r="A50" s="217">
        <v>78313</v>
      </c>
      <c r="B50" s="217" t="s">
        <v>1805</v>
      </c>
      <c r="C50" s="215" t="s">
        <v>1862</v>
      </c>
      <c r="D50" s="227">
        <v>3</v>
      </c>
    </row>
    <row r="51" spans="1:4" s="193" customFormat="1" ht="13.5" x14ac:dyDescent="0.25">
      <c r="A51" s="217">
        <v>78314</v>
      </c>
      <c r="B51" s="217" t="s">
        <v>1863</v>
      </c>
      <c r="C51" s="215" t="s">
        <v>1864</v>
      </c>
      <c r="D51" s="227">
        <v>4.5</v>
      </c>
    </row>
    <row r="52" spans="1:4" s="193" customFormat="1" ht="13.5" x14ac:dyDescent="0.25">
      <c r="A52" s="217">
        <v>78316</v>
      </c>
      <c r="B52" s="217" t="s">
        <v>990</v>
      </c>
      <c r="C52" s="215" t="s">
        <v>1865</v>
      </c>
      <c r="D52" s="227">
        <v>4.1500000000000004</v>
      </c>
    </row>
    <row r="53" spans="1:4" s="193" customFormat="1" ht="13.5" x14ac:dyDescent="0.25">
      <c r="A53" s="217">
        <v>78317</v>
      </c>
      <c r="B53" s="217" t="s">
        <v>1866</v>
      </c>
      <c r="C53" s="215" t="s">
        <v>1867</v>
      </c>
      <c r="D53" s="227">
        <v>5</v>
      </c>
    </row>
    <row r="54" spans="1:4" s="193" customFormat="1" ht="13.5" x14ac:dyDescent="0.25">
      <c r="A54" s="217">
        <v>78318</v>
      </c>
      <c r="B54" s="217" t="s">
        <v>1868</v>
      </c>
      <c r="C54" s="215" t="s">
        <v>1869</v>
      </c>
      <c r="D54" s="227">
        <v>5.18</v>
      </c>
    </row>
    <row r="55" spans="1:4" s="193" customFormat="1" ht="13.5" x14ac:dyDescent="0.25">
      <c r="A55" s="217">
        <v>78319</v>
      </c>
      <c r="B55" s="217" t="s">
        <v>1870</v>
      </c>
      <c r="C55" s="215" t="s">
        <v>1871</v>
      </c>
      <c r="D55" s="227">
        <v>3</v>
      </c>
    </row>
    <row r="56" spans="1:4" s="193" customFormat="1" ht="13.5" x14ac:dyDescent="0.25">
      <c r="A56" s="237"/>
      <c r="B56" s="219" t="s">
        <v>1668</v>
      </c>
      <c r="C56" s="225" t="s">
        <v>1872</v>
      </c>
      <c r="D56" s="229">
        <v>3.36</v>
      </c>
    </row>
    <row r="57" spans="1:4" s="193" customFormat="1" ht="13.5" x14ac:dyDescent="0.25">
      <c r="C57" s="195"/>
    </row>
    <row r="58" spans="1:4" s="193" customFormat="1" ht="13.5" x14ac:dyDescent="0.25">
      <c r="C58" s="195"/>
    </row>
    <row r="59" spans="1:4" s="193" customFormat="1" ht="13.5" x14ac:dyDescent="0.25">
      <c r="C59" s="195"/>
    </row>
    <row r="60" spans="1:4" s="193" customFormat="1" ht="13.5" x14ac:dyDescent="0.25">
      <c r="C60" s="195"/>
    </row>
    <row r="61" spans="1:4" s="193" customFormat="1" ht="13.5" x14ac:dyDescent="0.25">
      <c r="C61" s="195"/>
    </row>
    <row r="62" spans="1:4" s="193" customFormat="1" ht="13.5" x14ac:dyDescent="0.25">
      <c r="C62" s="195"/>
    </row>
    <row r="63" spans="1:4" s="193" customFormat="1" ht="13.5" x14ac:dyDescent="0.25">
      <c r="C63" s="195"/>
    </row>
    <row r="64" spans="1:4" s="193" customFormat="1" ht="13.5" x14ac:dyDescent="0.25">
      <c r="C64" s="195"/>
    </row>
    <row r="65" spans="3:3" s="193" customFormat="1" ht="13.5" x14ac:dyDescent="0.25">
      <c r="C65" s="195"/>
    </row>
    <row r="66" spans="3:3" s="193" customFormat="1" ht="13.5" x14ac:dyDescent="0.25">
      <c r="C66" s="195"/>
    </row>
    <row r="67" spans="3:3" s="193" customFormat="1" ht="13.5" x14ac:dyDescent="0.25">
      <c r="C67" s="195"/>
    </row>
    <row r="68" spans="3:3" s="193" customFormat="1" ht="13.5" x14ac:dyDescent="0.25">
      <c r="C68" s="195"/>
    </row>
    <row r="69" spans="3:3" s="193" customFormat="1" ht="13.5" x14ac:dyDescent="0.25">
      <c r="C69" s="195"/>
    </row>
    <row r="70" spans="3:3" s="193" customFormat="1" ht="13.5" x14ac:dyDescent="0.25">
      <c r="C70" s="195"/>
    </row>
    <row r="71" spans="3:3" s="193" customFormat="1" ht="13.5" x14ac:dyDescent="0.25">
      <c r="C71" s="195"/>
    </row>
    <row r="72" spans="3:3" s="193" customFormat="1" ht="13.5" x14ac:dyDescent="0.25">
      <c r="C72" s="195"/>
    </row>
    <row r="73" spans="3:3" s="193" customFormat="1" ht="13.5" x14ac:dyDescent="0.25">
      <c r="C73" s="195"/>
    </row>
    <row r="74" spans="3:3" s="193" customFormat="1" ht="13.5" x14ac:dyDescent="0.25">
      <c r="C74" s="195"/>
    </row>
    <row r="75" spans="3:3" s="193" customFormat="1" ht="13.5" x14ac:dyDescent="0.25">
      <c r="C75" s="195"/>
    </row>
    <row r="76" spans="3:3" s="193" customFormat="1" ht="13.5" x14ac:dyDescent="0.25">
      <c r="C76" s="195"/>
    </row>
    <row r="77" spans="3:3" s="193" customFormat="1" ht="13.5" x14ac:dyDescent="0.25">
      <c r="C77" s="195"/>
    </row>
    <row r="78" spans="3:3" s="193" customFormat="1" ht="13.5" x14ac:dyDescent="0.25">
      <c r="C78" s="195"/>
    </row>
    <row r="79" spans="3:3" s="193" customFormat="1" ht="13.5" x14ac:dyDescent="0.25">
      <c r="C79" s="195"/>
    </row>
    <row r="80" spans="3:3" s="193" customFormat="1" ht="13.5" x14ac:dyDescent="0.25">
      <c r="C80" s="195"/>
    </row>
    <row r="81" spans="3:3" s="193" customFormat="1" ht="13.5" x14ac:dyDescent="0.25">
      <c r="C81" s="195"/>
    </row>
    <row r="82" spans="3:3" s="193" customFormat="1" ht="13.5" x14ac:dyDescent="0.25">
      <c r="C82" s="195"/>
    </row>
    <row r="83" spans="3:3" s="193" customFormat="1" ht="13.5" x14ac:dyDescent="0.25">
      <c r="C83" s="195"/>
    </row>
    <row r="84" spans="3:3" s="193" customFormat="1" ht="13.5" x14ac:dyDescent="0.25">
      <c r="C84" s="195"/>
    </row>
    <row r="85" spans="3:3" s="193" customFormat="1" ht="13.5" x14ac:dyDescent="0.25">
      <c r="C85" s="195"/>
    </row>
    <row r="86" spans="3:3" s="193" customFormat="1" ht="13.5" x14ac:dyDescent="0.25">
      <c r="C86" s="195"/>
    </row>
    <row r="87" spans="3:3" s="193" customFormat="1" ht="13.5" x14ac:dyDescent="0.25">
      <c r="C87" s="195"/>
    </row>
    <row r="88" spans="3:3" s="193" customFormat="1" ht="13.5" x14ac:dyDescent="0.25">
      <c r="C88" s="195"/>
    </row>
    <row r="89" spans="3:3" s="193" customFormat="1" ht="13.5" x14ac:dyDescent="0.25">
      <c r="C89" s="195"/>
    </row>
    <row r="90" spans="3:3" s="193" customFormat="1" ht="13.5" x14ac:dyDescent="0.25">
      <c r="C90" s="195"/>
    </row>
    <row r="91" spans="3:3" s="193" customFormat="1" ht="13.5" x14ac:dyDescent="0.25">
      <c r="C91" s="195"/>
    </row>
    <row r="92" spans="3:3" s="193" customFormat="1" ht="13.5" x14ac:dyDescent="0.25">
      <c r="C92" s="195"/>
    </row>
    <row r="93" spans="3:3" s="193" customFormat="1" ht="13.5" x14ac:dyDescent="0.25">
      <c r="C93" s="195"/>
    </row>
    <row r="94" spans="3:3" s="193" customFormat="1" ht="13.5" x14ac:dyDescent="0.25">
      <c r="C94" s="195"/>
    </row>
    <row r="95" spans="3:3" s="193" customFormat="1" ht="13.5" x14ac:dyDescent="0.25">
      <c r="C95" s="195"/>
    </row>
    <row r="96" spans="3:3" s="193" customFormat="1" ht="13.5" x14ac:dyDescent="0.25">
      <c r="C96" s="195"/>
    </row>
    <row r="97" spans="3:3" s="193" customFormat="1" ht="13.5" x14ac:dyDescent="0.25">
      <c r="C97" s="195"/>
    </row>
    <row r="98" spans="3:3" s="193" customFormat="1" ht="13.5" x14ac:dyDescent="0.25">
      <c r="C98" s="195"/>
    </row>
    <row r="99" spans="3:3" s="193" customFormat="1" ht="13.5" x14ac:dyDescent="0.25">
      <c r="C99" s="195"/>
    </row>
    <row r="100" spans="3:3" s="193" customFormat="1" ht="13.5" x14ac:dyDescent="0.25">
      <c r="C100" s="195"/>
    </row>
    <row r="101" spans="3:3" s="193" customFormat="1" ht="13.5" x14ac:dyDescent="0.25">
      <c r="C101" s="195"/>
    </row>
    <row r="102" spans="3:3" s="193" customFormat="1" ht="13.5" x14ac:dyDescent="0.25">
      <c r="C102" s="195"/>
    </row>
    <row r="103" spans="3:3" s="193" customFormat="1" ht="13.5" x14ac:dyDescent="0.25">
      <c r="C103" s="195"/>
    </row>
    <row r="104" spans="3:3" s="193" customFormat="1" ht="13.5" x14ac:dyDescent="0.25">
      <c r="C104" s="195"/>
    </row>
    <row r="105" spans="3:3" s="193" customFormat="1" ht="13.5" x14ac:dyDescent="0.25">
      <c r="C105" s="195"/>
    </row>
    <row r="106" spans="3:3" s="193" customFormat="1" ht="13.5" x14ac:dyDescent="0.25">
      <c r="C106" s="195"/>
    </row>
    <row r="107" spans="3:3" s="193" customFormat="1" ht="13.5" x14ac:dyDescent="0.25">
      <c r="C107" s="195"/>
    </row>
    <row r="108" spans="3:3" s="193" customFormat="1" ht="13.5" x14ac:dyDescent="0.25">
      <c r="C108" s="195"/>
    </row>
    <row r="109" spans="3:3" s="193" customFormat="1" ht="13.5" x14ac:dyDescent="0.25">
      <c r="C109" s="195"/>
    </row>
    <row r="110" spans="3:3" s="193" customFormat="1" ht="13.5" x14ac:dyDescent="0.25">
      <c r="C110" s="195"/>
    </row>
    <row r="111" spans="3:3" s="193" customFormat="1" ht="13.5" x14ac:dyDescent="0.25">
      <c r="C111" s="195"/>
    </row>
    <row r="112" spans="3:3" s="193" customFormat="1" ht="13.5" x14ac:dyDescent="0.25">
      <c r="C112" s="195"/>
    </row>
    <row r="113" spans="3:3" s="193" customFormat="1" ht="13.5" x14ac:dyDescent="0.25">
      <c r="C113" s="195"/>
    </row>
    <row r="114" spans="3:3" s="193" customFormat="1" ht="13.5" x14ac:dyDescent="0.25">
      <c r="C114" s="195"/>
    </row>
    <row r="115" spans="3:3" s="193" customFormat="1" ht="13.5" x14ac:dyDescent="0.25">
      <c r="C115" s="195"/>
    </row>
    <row r="116" spans="3:3" s="193" customFormat="1" ht="13.5" x14ac:dyDescent="0.25">
      <c r="C116" s="195"/>
    </row>
    <row r="117" spans="3:3" s="193" customFormat="1" ht="13.5" x14ac:dyDescent="0.25">
      <c r="C117" s="195"/>
    </row>
    <row r="118" spans="3:3" s="193" customFormat="1" ht="13.5" x14ac:dyDescent="0.25">
      <c r="C118" s="195"/>
    </row>
    <row r="119" spans="3:3" s="193" customFormat="1" ht="13.5" x14ac:dyDescent="0.25">
      <c r="C119" s="195"/>
    </row>
    <row r="120" spans="3:3" s="193" customFormat="1" ht="13.5" x14ac:dyDescent="0.25">
      <c r="C120" s="195"/>
    </row>
    <row r="121" spans="3:3" s="193" customFormat="1" ht="13.5" x14ac:dyDescent="0.25">
      <c r="C121" s="195"/>
    </row>
    <row r="122" spans="3:3" s="193" customFormat="1" ht="13.5" x14ac:dyDescent="0.25">
      <c r="C122" s="195"/>
    </row>
    <row r="123" spans="3:3" s="193" customFormat="1" ht="13.5" x14ac:dyDescent="0.25">
      <c r="C123" s="195"/>
    </row>
    <row r="124" spans="3:3" s="193" customFormat="1" ht="13.5" x14ac:dyDescent="0.25">
      <c r="C124" s="195"/>
    </row>
    <row r="125" spans="3:3" s="193" customFormat="1" ht="13.5" x14ac:dyDescent="0.25">
      <c r="C125" s="195"/>
    </row>
    <row r="126" spans="3:3" s="193" customFormat="1" ht="13.5" x14ac:dyDescent="0.25">
      <c r="C126" s="195"/>
    </row>
    <row r="127" spans="3:3" s="193" customFormat="1" ht="13.5" x14ac:dyDescent="0.25">
      <c r="C127" s="195"/>
    </row>
    <row r="128" spans="3:3" s="193" customFormat="1" ht="13.5" x14ac:dyDescent="0.25">
      <c r="C128" s="195"/>
    </row>
    <row r="129" spans="3:3" s="193" customFormat="1" ht="13.5" x14ac:dyDescent="0.25">
      <c r="C129" s="195"/>
    </row>
    <row r="130" spans="3:3" s="193" customFormat="1" ht="13.5" x14ac:dyDescent="0.25">
      <c r="C130" s="195"/>
    </row>
    <row r="131" spans="3:3" s="193" customFormat="1" ht="13.5" x14ac:dyDescent="0.25">
      <c r="C131" s="195"/>
    </row>
    <row r="132" spans="3:3" s="193" customFormat="1" ht="13.5" x14ac:dyDescent="0.25">
      <c r="C132" s="195"/>
    </row>
    <row r="133" spans="3:3" s="193" customFormat="1" ht="13.5" x14ac:dyDescent="0.25">
      <c r="C133" s="195"/>
    </row>
    <row r="134" spans="3:3" s="193" customFormat="1" ht="13.5" x14ac:dyDescent="0.25">
      <c r="C134" s="195"/>
    </row>
    <row r="135" spans="3:3" s="193" customFormat="1" ht="13.5" x14ac:dyDescent="0.25">
      <c r="C135" s="195"/>
    </row>
    <row r="136" spans="3:3" s="193" customFormat="1" ht="13.5" x14ac:dyDescent="0.25">
      <c r="C136" s="195"/>
    </row>
    <row r="137" spans="3:3" s="193" customFormat="1" ht="13.5" x14ac:dyDescent="0.25">
      <c r="C137" s="195"/>
    </row>
    <row r="138" spans="3:3" s="193" customFormat="1" ht="13.5" x14ac:dyDescent="0.25">
      <c r="C138" s="195"/>
    </row>
    <row r="139" spans="3:3" s="193" customFormat="1" ht="13.5" x14ac:dyDescent="0.25">
      <c r="C139" s="195"/>
    </row>
    <row r="140" spans="3:3" s="193" customFormat="1" ht="13.5" x14ac:dyDescent="0.25">
      <c r="C140" s="195"/>
    </row>
    <row r="141" spans="3:3" s="193" customFormat="1" ht="13.5" x14ac:dyDescent="0.25">
      <c r="C141" s="195"/>
    </row>
    <row r="142" spans="3:3" s="193" customFormat="1" ht="13.5" x14ac:dyDescent="0.25">
      <c r="C142" s="195"/>
    </row>
    <row r="143" spans="3:3" s="193" customFormat="1" ht="13.5" x14ac:dyDescent="0.25">
      <c r="C143" s="195"/>
    </row>
    <row r="144" spans="3:3" s="193" customFormat="1" ht="13.5" x14ac:dyDescent="0.25">
      <c r="C144" s="195"/>
    </row>
    <row r="145" spans="3:3" s="193" customFormat="1" ht="13.5" x14ac:dyDescent="0.25">
      <c r="C145" s="195"/>
    </row>
    <row r="146" spans="3:3" s="193" customFormat="1" ht="13.5" x14ac:dyDescent="0.25">
      <c r="C146" s="195"/>
    </row>
    <row r="147" spans="3:3" s="193" customFormat="1" ht="13.5" x14ac:dyDescent="0.25">
      <c r="C147" s="195"/>
    </row>
    <row r="148" spans="3:3" s="193" customFormat="1" ht="13.5" x14ac:dyDescent="0.25">
      <c r="C148" s="195"/>
    </row>
    <row r="149" spans="3:3" s="193" customFormat="1" ht="13.5" x14ac:dyDescent="0.25">
      <c r="C149" s="195"/>
    </row>
    <row r="150" spans="3:3" s="193" customFormat="1" ht="13.5" x14ac:dyDescent="0.25">
      <c r="C150" s="195"/>
    </row>
    <row r="151" spans="3:3" s="193" customFormat="1" ht="13.5" x14ac:dyDescent="0.25">
      <c r="C151" s="195"/>
    </row>
    <row r="152" spans="3:3" s="193" customFormat="1" ht="13.5" x14ac:dyDescent="0.25">
      <c r="C152" s="195"/>
    </row>
    <row r="153" spans="3:3" s="193" customFormat="1" ht="13.5" x14ac:dyDescent="0.25">
      <c r="C153" s="195"/>
    </row>
    <row r="154" spans="3:3" s="193" customFormat="1" ht="13.5" x14ac:dyDescent="0.25">
      <c r="C154" s="195"/>
    </row>
    <row r="155" spans="3:3" s="193" customFormat="1" ht="13.5" x14ac:dyDescent="0.25">
      <c r="C155" s="195"/>
    </row>
    <row r="156" spans="3:3" s="193" customFormat="1" ht="13.5" x14ac:dyDescent="0.25">
      <c r="C156" s="195"/>
    </row>
    <row r="157" spans="3:3" s="193" customFormat="1" ht="13.5" x14ac:dyDescent="0.25">
      <c r="C157" s="195"/>
    </row>
    <row r="158" spans="3:3" s="193" customFormat="1" ht="13.5" x14ac:dyDescent="0.25">
      <c r="C158" s="195"/>
    </row>
    <row r="159" spans="3:3" s="193" customFormat="1" ht="13.5" x14ac:dyDescent="0.25">
      <c r="C159" s="195"/>
    </row>
    <row r="160" spans="3:3" s="193" customFormat="1" ht="13.5" x14ac:dyDescent="0.25">
      <c r="C160" s="195"/>
    </row>
    <row r="161" spans="3:3" s="193" customFormat="1" ht="13.5" x14ac:dyDescent="0.25">
      <c r="C161" s="195"/>
    </row>
    <row r="162" spans="3:3" s="193" customFormat="1" ht="13.5" x14ac:dyDescent="0.25">
      <c r="C162" s="195"/>
    </row>
    <row r="163" spans="3:3" s="193" customFormat="1" ht="13.5" x14ac:dyDescent="0.25">
      <c r="C163" s="195"/>
    </row>
    <row r="164" spans="3:3" s="193" customFormat="1" ht="13.5" x14ac:dyDescent="0.25">
      <c r="C164" s="195"/>
    </row>
    <row r="165" spans="3:3" s="193" customFormat="1" ht="13.5" x14ac:dyDescent="0.25">
      <c r="C165" s="195"/>
    </row>
    <row r="166" spans="3:3" s="193" customFormat="1" ht="13.5" x14ac:dyDescent="0.25">
      <c r="C166" s="195"/>
    </row>
    <row r="167" spans="3:3" s="193" customFormat="1" ht="13.5" x14ac:dyDescent="0.25">
      <c r="C167" s="195"/>
    </row>
    <row r="168" spans="3:3" s="193" customFormat="1" ht="13.5" x14ac:dyDescent="0.25">
      <c r="C168" s="195"/>
    </row>
    <row r="169" spans="3:3" s="193" customFormat="1" ht="13.5" x14ac:dyDescent="0.25">
      <c r="C169" s="195"/>
    </row>
    <row r="170" spans="3:3" s="193" customFormat="1" ht="13.5" x14ac:dyDescent="0.25">
      <c r="C170" s="195"/>
    </row>
    <row r="171" spans="3:3" s="193" customFormat="1" ht="13.5" x14ac:dyDescent="0.25">
      <c r="C171" s="195"/>
    </row>
    <row r="172" spans="3:3" s="193" customFormat="1" ht="13.5" x14ac:dyDescent="0.25">
      <c r="C172" s="195"/>
    </row>
    <row r="173" spans="3:3" s="193" customFormat="1" ht="13.5" x14ac:dyDescent="0.25">
      <c r="C173" s="195"/>
    </row>
    <row r="174" spans="3:3" s="193" customFormat="1" ht="13.5" x14ac:dyDescent="0.25">
      <c r="C174" s="195"/>
    </row>
    <row r="175" spans="3:3" s="193" customFormat="1" ht="13.5" x14ac:dyDescent="0.25">
      <c r="C175" s="195"/>
    </row>
    <row r="176" spans="3:3" s="193" customFormat="1" ht="13.5" x14ac:dyDescent="0.25">
      <c r="C176" s="195"/>
    </row>
    <row r="177" spans="3:3" s="193" customFormat="1" ht="13.5" x14ac:dyDescent="0.25">
      <c r="C177" s="195"/>
    </row>
    <row r="178" spans="3:3" s="193" customFormat="1" ht="13.5" x14ac:dyDescent="0.25">
      <c r="C178" s="195"/>
    </row>
    <row r="179" spans="3:3" s="193" customFormat="1" ht="13.5" x14ac:dyDescent="0.25">
      <c r="C179" s="195"/>
    </row>
    <row r="180" spans="3:3" s="193" customFormat="1" ht="13.5" x14ac:dyDescent="0.25">
      <c r="C180" s="195"/>
    </row>
    <row r="181" spans="3:3" s="193" customFormat="1" ht="13.5" x14ac:dyDescent="0.25">
      <c r="C181" s="195"/>
    </row>
    <row r="182" spans="3:3" s="193" customFormat="1" ht="13.5" x14ac:dyDescent="0.25">
      <c r="C182" s="195"/>
    </row>
    <row r="183" spans="3:3" s="193" customFormat="1" ht="13.5" x14ac:dyDescent="0.25">
      <c r="C183" s="195"/>
    </row>
    <row r="184" spans="3:3" s="193" customFormat="1" ht="13.5" x14ac:dyDescent="0.25">
      <c r="C184" s="195"/>
    </row>
    <row r="185" spans="3:3" s="193" customFormat="1" ht="13.5" x14ac:dyDescent="0.25">
      <c r="C185" s="195"/>
    </row>
    <row r="186" spans="3:3" s="193" customFormat="1" ht="13.5" x14ac:dyDescent="0.25">
      <c r="C186" s="195"/>
    </row>
    <row r="187" spans="3:3" s="193" customFormat="1" ht="13.5" x14ac:dyDescent="0.25">
      <c r="C187" s="195"/>
    </row>
    <row r="188" spans="3:3" s="193" customFormat="1" ht="13.5" x14ac:dyDescent="0.25">
      <c r="C188" s="195"/>
    </row>
    <row r="189" spans="3:3" s="193" customFormat="1" ht="13.5" x14ac:dyDescent="0.25">
      <c r="C189" s="195"/>
    </row>
    <row r="190" spans="3:3" s="193" customFormat="1" ht="13.5" x14ac:dyDescent="0.25">
      <c r="C190" s="195"/>
    </row>
    <row r="191" spans="3:3" s="193" customFormat="1" ht="13.5" x14ac:dyDescent="0.25">
      <c r="C191" s="195"/>
    </row>
    <row r="192" spans="3:3" s="193" customFormat="1" ht="13.5" x14ac:dyDescent="0.25">
      <c r="C192" s="195"/>
    </row>
    <row r="193" spans="3:3" s="193" customFormat="1" ht="13.5" x14ac:dyDescent="0.25">
      <c r="C193" s="195"/>
    </row>
    <row r="194" spans="3:3" s="193" customFormat="1" ht="13.5" x14ac:dyDescent="0.25">
      <c r="C194" s="195"/>
    </row>
    <row r="195" spans="3:3" s="193" customFormat="1" ht="13.5" x14ac:dyDescent="0.25">
      <c r="C195" s="195"/>
    </row>
    <row r="196" spans="3:3" s="193" customFormat="1" ht="13.5" x14ac:dyDescent="0.25">
      <c r="C196" s="195"/>
    </row>
    <row r="197" spans="3:3" s="193" customFormat="1" ht="13.5" x14ac:dyDescent="0.25">
      <c r="C197" s="195"/>
    </row>
    <row r="198" spans="3:3" s="193" customFormat="1" ht="13.5" x14ac:dyDescent="0.25">
      <c r="C198" s="195"/>
    </row>
    <row r="199" spans="3:3" s="193" customFormat="1" ht="13.5" x14ac:dyDescent="0.25">
      <c r="C199" s="195"/>
    </row>
    <row r="200" spans="3:3" s="193" customFormat="1" ht="13.5" x14ac:dyDescent="0.25">
      <c r="C200" s="195"/>
    </row>
    <row r="201" spans="3:3" s="193" customFormat="1" ht="13.5" x14ac:dyDescent="0.25">
      <c r="C201" s="195"/>
    </row>
    <row r="202" spans="3:3" s="193" customFormat="1" ht="13.5" x14ac:dyDescent="0.25">
      <c r="C202" s="195"/>
    </row>
    <row r="203" spans="3:3" s="193" customFormat="1" ht="13.5" x14ac:dyDescent="0.25">
      <c r="C203" s="195"/>
    </row>
    <row r="204" spans="3:3" s="193" customFormat="1" ht="13.5" x14ac:dyDescent="0.25">
      <c r="C204" s="195"/>
    </row>
    <row r="205" spans="3:3" s="193" customFormat="1" ht="13.5" x14ac:dyDescent="0.25">
      <c r="C205" s="195"/>
    </row>
    <row r="206" spans="3:3" s="193" customFormat="1" ht="13.5" x14ac:dyDescent="0.25">
      <c r="C206" s="195"/>
    </row>
    <row r="207" spans="3:3" s="193" customFormat="1" ht="13.5" x14ac:dyDescent="0.25">
      <c r="C207" s="195"/>
    </row>
    <row r="208" spans="3:3" s="193" customFormat="1" ht="13.5" x14ac:dyDescent="0.25">
      <c r="C208" s="195"/>
    </row>
    <row r="209" spans="3:3" s="193" customFormat="1" ht="13.5" x14ac:dyDescent="0.25">
      <c r="C209" s="195"/>
    </row>
    <row r="210" spans="3:3" s="193" customFormat="1" ht="13.5" x14ac:dyDescent="0.25">
      <c r="C210" s="195"/>
    </row>
    <row r="211" spans="3:3" s="193" customFormat="1" ht="13.5" x14ac:dyDescent="0.25">
      <c r="C211" s="195"/>
    </row>
    <row r="212" spans="3:3" s="193" customFormat="1" ht="13.5" x14ac:dyDescent="0.25">
      <c r="C212" s="195"/>
    </row>
    <row r="213" spans="3:3" s="193" customFormat="1" ht="13.5" x14ac:dyDescent="0.25">
      <c r="C213" s="195"/>
    </row>
    <row r="214" spans="3:3" s="193" customFormat="1" ht="13.5" x14ac:dyDescent="0.25">
      <c r="C214" s="195"/>
    </row>
    <row r="215" spans="3:3" s="193" customFormat="1" ht="13.5" x14ac:dyDescent="0.25">
      <c r="C215" s="195"/>
    </row>
    <row r="216" spans="3:3" s="193" customFormat="1" ht="13.5" x14ac:dyDescent="0.25">
      <c r="C216" s="195"/>
    </row>
    <row r="217" spans="3:3" s="193" customFormat="1" ht="13.5" x14ac:dyDescent="0.25">
      <c r="C217" s="195"/>
    </row>
    <row r="218" spans="3:3" s="193" customFormat="1" ht="13.5" x14ac:dyDescent="0.25">
      <c r="C218" s="195"/>
    </row>
    <row r="219" spans="3:3" s="193" customFormat="1" ht="13.5" x14ac:dyDescent="0.25">
      <c r="C219" s="195"/>
    </row>
    <row r="220" spans="3:3" s="193" customFormat="1" ht="13.5" x14ac:dyDescent="0.25">
      <c r="C220" s="195"/>
    </row>
    <row r="221" spans="3:3" s="193" customFormat="1" ht="13.5" x14ac:dyDescent="0.25">
      <c r="C221" s="195"/>
    </row>
    <row r="222" spans="3:3" s="193" customFormat="1" ht="13.5" x14ac:dyDescent="0.25">
      <c r="C222" s="195"/>
    </row>
    <row r="223" spans="3:3" s="193" customFormat="1" ht="13.5" x14ac:dyDescent="0.25">
      <c r="C223" s="195"/>
    </row>
    <row r="224" spans="3:3" s="193" customFormat="1" ht="13.5" x14ac:dyDescent="0.25">
      <c r="C224" s="195"/>
    </row>
    <row r="225" spans="3:3" s="193" customFormat="1" ht="13.5" x14ac:dyDescent="0.25">
      <c r="C225" s="195"/>
    </row>
    <row r="226" spans="3:3" s="193" customFormat="1" ht="13.5" x14ac:dyDescent="0.25">
      <c r="C226" s="195"/>
    </row>
    <row r="227" spans="3:3" s="193" customFormat="1" ht="13.5" x14ac:dyDescent="0.25">
      <c r="C227" s="195"/>
    </row>
    <row r="228" spans="3:3" s="193" customFormat="1" ht="13.5" x14ac:dyDescent="0.25">
      <c r="C228" s="195"/>
    </row>
    <row r="229" spans="3:3" s="193" customFormat="1" ht="13.5" x14ac:dyDescent="0.25">
      <c r="C229" s="195"/>
    </row>
    <row r="230" spans="3:3" s="193" customFormat="1" ht="13.5" x14ac:dyDescent="0.25">
      <c r="C230" s="195"/>
    </row>
    <row r="231" spans="3:3" s="193" customFormat="1" ht="13.5" x14ac:dyDescent="0.25">
      <c r="C231" s="195"/>
    </row>
    <row r="232" spans="3:3" s="193" customFormat="1" ht="13.5" x14ac:dyDescent="0.25">
      <c r="C232" s="195"/>
    </row>
    <row r="233" spans="3:3" s="193" customFormat="1" ht="13.5" x14ac:dyDescent="0.25">
      <c r="C233" s="195"/>
    </row>
    <row r="234" spans="3:3" s="193" customFormat="1" ht="13.5" x14ac:dyDescent="0.25">
      <c r="C234" s="195"/>
    </row>
    <row r="235" spans="3:3" s="193" customFormat="1" ht="13.5" x14ac:dyDescent="0.25">
      <c r="C235" s="195"/>
    </row>
    <row r="236" spans="3:3" s="193" customFormat="1" ht="13.5" x14ac:dyDescent="0.25">
      <c r="C236" s="195"/>
    </row>
    <row r="237" spans="3:3" s="193" customFormat="1" ht="13.5" x14ac:dyDescent="0.25">
      <c r="C237" s="195"/>
    </row>
    <row r="238" spans="3:3" s="193" customFormat="1" ht="13.5" x14ac:dyDescent="0.25">
      <c r="C238" s="195"/>
    </row>
    <row r="239" spans="3:3" s="193" customFormat="1" ht="13.5" x14ac:dyDescent="0.25">
      <c r="C239" s="195"/>
    </row>
    <row r="240" spans="3:3" s="193" customFormat="1" ht="13.5" x14ac:dyDescent="0.25">
      <c r="C240" s="195"/>
    </row>
    <row r="241" spans="3:3" s="193" customFormat="1" ht="13.5" x14ac:dyDescent="0.25">
      <c r="C241" s="195"/>
    </row>
    <row r="242" spans="3:3" s="193" customFormat="1" ht="13.5" x14ac:dyDescent="0.25">
      <c r="C242" s="195"/>
    </row>
    <row r="243" spans="3:3" s="193" customFormat="1" ht="13.5" x14ac:dyDescent="0.25">
      <c r="C243" s="195"/>
    </row>
    <row r="244" spans="3:3" s="193" customFormat="1" ht="13.5" x14ac:dyDescent="0.25">
      <c r="C244" s="195"/>
    </row>
    <row r="245" spans="3:3" s="193" customFormat="1" ht="13.5" x14ac:dyDescent="0.25">
      <c r="C245" s="195"/>
    </row>
    <row r="246" spans="3:3" s="193" customFormat="1" ht="13.5" x14ac:dyDescent="0.25">
      <c r="C246" s="195"/>
    </row>
    <row r="247" spans="3:3" s="193" customFormat="1" ht="13.5" x14ac:dyDescent="0.25">
      <c r="C247" s="195"/>
    </row>
    <row r="248" spans="3:3" s="193" customFormat="1" ht="13.5" x14ac:dyDescent="0.25">
      <c r="C248" s="195"/>
    </row>
    <row r="249" spans="3:3" s="193" customFormat="1" ht="13.5" x14ac:dyDescent="0.25">
      <c r="C249" s="195"/>
    </row>
    <row r="250" spans="3:3" s="193" customFormat="1" ht="13.5" x14ac:dyDescent="0.25">
      <c r="C250" s="195"/>
    </row>
    <row r="251" spans="3:3" s="193" customFormat="1" ht="13.5" x14ac:dyDescent="0.25">
      <c r="C251" s="195"/>
    </row>
    <row r="252" spans="3:3" s="193" customFormat="1" ht="13.5" x14ac:dyDescent="0.25">
      <c r="C252" s="195"/>
    </row>
    <row r="253" spans="3:3" s="193" customFormat="1" ht="13.5" x14ac:dyDescent="0.25">
      <c r="C253" s="195"/>
    </row>
    <row r="254" spans="3:3" s="193" customFormat="1" ht="13.5" x14ac:dyDescent="0.25">
      <c r="C254" s="195"/>
    </row>
    <row r="255" spans="3:3" s="193" customFormat="1" ht="13.5" x14ac:dyDescent="0.25">
      <c r="C255" s="195"/>
    </row>
    <row r="256" spans="3:3" s="193" customFormat="1" ht="13.5" x14ac:dyDescent="0.25">
      <c r="C256" s="195"/>
    </row>
    <row r="257" spans="3:3" s="193" customFormat="1" ht="13.5" x14ac:dyDescent="0.25">
      <c r="C257" s="195"/>
    </row>
    <row r="258" spans="3:3" s="193" customFormat="1" ht="13.5" x14ac:dyDescent="0.25">
      <c r="C258" s="195"/>
    </row>
    <row r="259" spans="3:3" s="193" customFormat="1" ht="13.5" x14ac:dyDescent="0.25">
      <c r="C259" s="195"/>
    </row>
    <row r="260" spans="3:3" s="193" customFormat="1" ht="13.5" x14ac:dyDescent="0.25">
      <c r="C260" s="195"/>
    </row>
    <row r="261" spans="3:3" s="193" customFormat="1" ht="13.5" x14ac:dyDescent="0.25">
      <c r="C261" s="195"/>
    </row>
    <row r="262" spans="3:3" s="193" customFormat="1" ht="13.5" x14ac:dyDescent="0.25">
      <c r="C262" s="195"/>
    </row>
    <row r="263" spans="3:3" s="193" customFormat="1" ht="13.5" x14ac:dyDescent="0.25">
      <c r="C263" s="195"/>
    </row>
    <row r="264" spans="3:3" s="193" customFormat="1" ht="13.5" x14ac:dyDescent="0.25">
      <c r="C264" s="195"/>
    </row>
    <row r="265" spans="3:3" s="193" customFormat="1" ht="13.5" x14ac:dyDescent="0.25">
      <c r="C265" s="195"/>
    </row>
    <row r="266" spans="3:3" s="193" customFormat="1" ht="13.5" x14ac:dyDescent="0.25">
      <c r="C266" s="195"/>
    </row>
    <row r="267" spans="3:3" s="193" customFormat="1" ht="13.5" x14ac:dyDescent="0.25">
      <c r="C267" s="195"/>
    </row>
    <row r="268" spans="3:3" s="193" customFormat="1" ht="13.5" x14ac:dyDescent="0.25">
      <c r="C268" s="195"/>
    </row>
    <row r="269" spans="3:3" s="193" customFormat="1" ht="13.5" x14ac:dyDescent="0.25">
      <c r="C269" s="195"/>
    </row>
    <row r="270" spans="3:3" s="193" customFormat="1" ht="13.5" x14ac:dyDescent="0.25">
      <c r="C270" s="195"/>
    </row>
    <row r="271" spans="3:3" s="193" customFormat="1" ht="13.5" x14ac:dyDescent="0.25">
      <c r="C271" s="195"/>
    </row>
    <row r="272" spans="3:3" s="193" customFormat="1" ht="13.5" x14ac:dyDescent="0.25">
      <c r="C272" s="195"/>
    </row>
    <row r="273" spans="3:3" s="193" customFormat="1" ht="13.5" x14ac:dyDescent="0.25">
      <c r="C273" s="195"/>
    </row>
    <row r="274" spans="3:3" s="193" customFormat="1" ht="13.5" x14ac:dyDescent="0.25">
      <c r="C274" s="195"/>
    </row>
    <row r="275" spans="3:3" s="193" customFormat="1" ht="13.5" x14ac:dyDescent="0.25">
      <c r="C275" s="195"/>
    </row>
    <row r="276" spans="3:3" s="193" customFormat="1" ht="13.5" x14ac:dyDescent="0.25">
      <c r="C276" s="195"/>
    </row>
    <row r="277" spans="3:3" s="193" customFormat="1" ht="13.5" x14ac:dyDescent="0.25">
      <c r="C277" s="195"/>
    </row>
    <row r="278" spans="3:3" s="193" customFormat="1" ht="13.5" x14ac:dyDescent="0.25">
      <c r="C278" s="195"/>
    </row>
    <row r="279" spans="3:3" s="193" customFormat="1" ht="13.5" x14ac:dyDescent="0.25">
      <c r="C279" s="195"/>
    </row>
    <row r="280" spans="3:3" s="193" customFormat="1" ht="13.5" x14ac:dyDescent="0.25">
      <c r="C280" s="195"/>
    </row>
    <row r="281" spans="3:3" s="193" customFormat="1" ht="13.5" x14ac:dyDescent="0.25">
      <c r="C281" s="195"/>
    </row>
    <row r="282" spans="3:3" s="193" customFormat="1" ht="13.5" x14ac:dyDescent="0.25">
      <c r="C282" s="195"/>
    </row>
    <row r="283" spans="3:3" s="193" customFormat="1" ht="13.5" x14ac:dyDescent="0.25">
      <c r="C283" s="195"/>
    </row>
    <row r="284" spans="3:3" s="193" customFormat="1" ht="13.5" x14ac:dyDescent="0.25">
      <c r="C284" s="195"/>
    </row>
    <row r="285" spans="3:3" s="193" customFormat="1" ht="13.5" x14ac:dyDescent="0.25">
      <c r="C285" s="195"/>
    </row>
    <row r="286" spans="3:3" s="193" customFormat="1" ht="13.5" x14ac:dyDescent="0.25">
      <c r="C286" s="195"/>
    </row>
    <row r="287" spans="3:3" s="193" customFormat="1" ht="13.5" x14ac:dyDescent="0.25">
      <c r="C287" s="195"/>
    </row>
    <row r="288" spans="3:3" s="193" customFormat="1" ht="13.5" x14ac:dyDescent="0.25">
      <c r="C288" s="195"/>
    </row>
    <row r="289" spans="3:3" s="193" customFormat="1" ht="13.5" x14ac:dyDescent="0.25">
      <c r="C289" s="195"/>
    </row>
    <row r="290" spans="3:3" s="193" customFormat="1" ht="13.5" x14ac:dyDescent="0.25">
      <c r="C290" s="195"/>
    </row>
    <row r="291" spans="3:3" s="193" customFormat="1" ht="13.5" x14ac:dyDescent="0.25">
      <c r="C291" s="195"/>
    </row>
    <row r="292" spans="3:3" s="193" customFormat="1" ht="13.5" x14ac:dyDescent="0.25">
      <c r="C292" s="195"/>
    </row>
    <row r="293" spans="3:3" s="193" customFormat="1" ht="13.5" x14ac:dyDescent="0.25">
      <c r="C293" s="195"/>
    </row>
    <row r="294" spans="3:3" s="193" customFormat="1" ht="13.5" x14ac:dyDescent="0.25">
      <c r="C294" s="195"/>
    </row>
    <row r="295" spans="3:3" s="193" customFormat="1" ht="13.5" x14ac:dyDescent="0.25">
      <c r="C295" s="195"/>
    </row>
    <row r="296" spans="3:3" s="193" customFormat="1" ht="13.5" x14ac:dyDescent="0.25">
      <c r="C296" s="195"/>
    </row>
    <row r="297" spans="3:3" s="193" customFormat="1" ht="13.5" x14ac:dyDescent="0.25">
      <c r="C297" s="195"/>
    </row>
    <row r="298" spans="3:3" s="193" customFormat="1" ht="13.5" x14ac:dyDescent="0.25">
      <c r="C298" s="195"/>
    </row>
    <row r="299" spans="3:3" s="193" customFormat="1" ht="13.5" x14ac:dyDescent="0.25">
      <c r="C299" s="195"/>
    </row>
    <row r="300" spans="3:3" s="193" customFormat="1" ht="13.5" x14ac:dyDescent="0.25">
      <c r="C300" s="195"/>
    </row>
    <row r="301" spans="3:3" s="193" customFormat="1" ht="13.5" x14ac:dyDescent="0.25">
      <c r="C301" s="195"/>
    </row>
    <row r="302" spans="3:3" s="193" customFormat="1" ht="13.5" x14ac:dyDescent="0.25">
      <c r="C302" s="195"/>
    </row>
    <row r="303" spans="3:3" s="193" customFormat="1" ht="13.5" x14ac:dyDescent="0.25">
      <c r="C303" s="195"/>
    </row>
    <row r="304" spans="3:3" s="193" customFormat="1" ht="13.5" x14ac:dyDescent="0.25">
      <c r="C304" s="195"/>
    </row>
    <row r="305" spans="3:3" s="193" customFormat="1" ht="13.5" x14ac:dyDescent="0.25">
      <c r="C305" s="195"/>
    </row>
    <row r="306" spans="3:3" s="193" customFormat="1" ht="13.5" x14ac:dyDescent="0.25">
      <c r="C306" s="195"/>
    </row>
    <row r="307" spans="3:3" s="193" customFormat="1" ht="13.5" x14ac:dyDescent="0.25">
      <c r="C307" s="195"/>
    </row>
    <row r="308" spans="3:3" s="193" customFormat="1" ht="13.5" x14ac:dyDescent="0.25">
      <c r="C308" s="195"/>
    </row>
    <row r="309" spans="3:3" s="193" customFormat="1" ht="13.5" x14ac:dyDescent="0.25">
      <c r="C309" s="195"/>
    </row>
    <row r="310" spans="3:3" s="193" customFormat="1" ht="13.5" x14ac:dyDescent="0.25">
      <c r="C310" s="195"/>
    </row>
    <row r="311" spans="3:3" s="193" customFormat="1" ht="13.5" x14ac:dyDescent="0.25">
      <c r="C311" s="195"/>
    </row>
    <row r="312" spans="3:3" s="193" customFormat="1" ht="13.5" x14ac:dyDescent="0.25">
      <c r="C312" s="195"/>
    </row>
    <row r="313" spans="3:3" s="193" customFormat="1" ht="13.5" x14ac:dyDescent="0.25">
      <c r="C313" s="195"/>
    </row>
    <row r="314" spans="3:3" s="193" customFormat="1" ht="13.5" x14ac:dyDescent="0.25">
      <c r="C314" s="195"/>
    </row>
    <row r="315" spans="3:3" s="193" customFormat="1" ht="13.5" x14ac:dyDescent="0.25">
      <c r="C315" s="195"/>
    </row>
    <row r="316" spans="3:3" s="193" customFormat="1" ht="13.5" x14ac:dyDescent="0.25">
      <c r="C316" s="195"/>
    </row>
    <row r="317" spans="3:3" s="193" customFormat="1" ht="13.5" x14ac:dyDescent="0.25">
      <c r="C317" s="195"/>
    </row>
    <row r="318" spans="3:3" s="193" customFormat="1" ht="13.5" x14ac:dyDescent="0.25">
      <c r="C318" s="195"/>
    </row>
    <row r="319" spans="3:3" s="193" customFormat="1" ht="13.5" x14ac:dyDescent="0.25">
      <c r="C319" s="195"/>
    </row>
  </sheetData>
  <mergeCells count="4">
    <mergeCell ref="A3:B3"/>
    <mergeCell ref="C3:C4"/>
    <mergeCell ref="D3:D4"/>
    <mergeCell ref="A1:D1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7E8C6-5288-4891-B01A-3715C9A2B782}">
  <dimension ref="A1:D319"/>
  <sheetViews>
    <sheetView showGridLines="0" showRowColHeaders="0" workbookViewId="0">
      <selection activeCell="E19" sqref="E19"/>
    </sheetView>
  </sheetViews>
  <sheetFormatPr defaultColWidth="8.7109375" defaultRowHeight="12.75" x14ac:dyDescent="0.2"/>
  <cols>
    <col min="1" max="2" width="6.42578125" style="191" customWidth="1"/>
    <col min="3" max="3" width="55.42578125" style="191" customWidth="1"/>
    <col min="4" max="4" width="7.28515625" style="191" customWidth="1"/>
    <col min="5" max="16384" width="8.7109375" style="191"/>
  </cols>
  <sheetData>
    <row r="1" spans="1:4" ht="38.1" customHeight="1" x14ac:dyDescent="0.2">
      <c r="A1" s="489" t="s">
        <v>1873</v>
      </c>
      <c r="B1" s="489"/>
      <c r="C1" s="489"/>
      <c r="D1" s="489"/>
    </row>
    <row r="2" spans="1:4" s="193" customFormat="1" ht="13.5" x14ac:dyDescent="0.25"/>
    <row r="3" spans="1:4" s="193" customFormat="1" ht="13.5" x14ac:dyDescent="0.25">
      <c r="A3" s="486" t="s">
        <v>363</v>
      </c>
      <c r="B3" s="486"/>
      <c r="C3" s="486" t="s">
        <v>1448</v>
      </c>
      <c r="D3" s="486" t="s">
        <v>1449</v>
      </c>
    </row>
    <row r="4" spans="1:4" s="193" customFormat="1" ht="13.5" x14ac:dyDescent="0.25">
      <c r="A4" s="222" t="s">
        <v>367</v>
      </c>
      <c r="B4" s="222" t="s">
        <v>368</v>
      </c>
      <c r="C4" s="486"/>
      <c r="D4" s="486"/>
    </row>
    <row r="5" spans="1:4" s="193" customFormat="1" ht="13.5" x14ac:dyDescent="0.25">
      <c r="A5" s="205"/>
      <c r="B5" s="205"/>
      <c r="C5" s="204" t="s">
        <v>1874</v>
      </c>
      <c r="D5" s="205"/>
    </row>
    <row r="6" spans="1:4" s="193" customFormat="1" ht="13.5" x14ac:dyDescent="0.25">
      <c r="A6" s="206">
        <v>90113</v>
      </c>
      <c r="B6" s="206" t="s">
        <v>1875</v>
      </c>
      <c r="C6" s="211" t="s">
        <v>1876</v>
      </c>
      <c r="D6" s="206">
        <v>130.62</v>
      </c>
    </row>
    <row r="7" spans="1:4" s="193" customFormat="1" ht="13.5" x14ac:dyDescent="0.25">
      <c r="A7" s="205"/>
      <c r="B7" s="205"/>
      <c r="C7" s="204" t="s">
        <v>1877</v>
      </c>
      <c r="D7" s="205"/>
    </row>
    <row r="8" spans="1:4" s="193" customFormat="1" ht="13.5" x14ac:dyDescent="0.25">
      <c r="A8" s="206">
        <v>90403</v>
      </c>
      <c r="B8" s="206" t="s">
        <v>1572</v>
      </c>
      <c r="C8" s="211" t="s">
        <v>1878</v>
      </c>
      <c r="D8" s="206">
        <v>60.48</v>
      </c>
    </row>
    <row r="9" spans="1:4" s="193" customFormat="1" ht="13.5" x14ac:dyDescent="0.25">
      <c r="A9" s="205"/>
      <c r="B9" s="205"/>
      <c r="C9" s="204" t="s">
        <v>116</v>
      </c>
      <c r="D9" s="205"/>
    </row>
    <row r="10" spans="1:4" s="193" customFormat="1" ht="13.5" x14ac:dyDescent="0.25">
      <c r="A10" s="205"/>
      <c r="B10" s="205"/>
      <c r="C10" s="211" t="s">
        <v>1879</v>
      </c>
      <c r="D10" s="206">
        <v>20.16</v>
      </c>
    </row>
    <row r="11" spans="1:4" s="193" customFormat="1" ht="27" x14ac:dyDescent="0.25">
      <c r="A11" s="205"/>
      <c r="B11" s="205"/>
      <c r="C11" s="211" t="s">
        <v>1880</v>
      </c>
      <c r="D11" s="206">
        <v>23.47</v>
      </c>
    </row>
    <row r="12" spans="1:4" s="193" customFormat="1" ht="13.5" x14ac:dyDescent="0.25">
      <c r="A12" s="205"/>
      <c r="B12" s="205"/>
      <c r="C12" s="211" t="s">
        <v>1881</v>
      </c>
      <c r="D12" s="206">
        <v>12.82</v>
      </c>
    </row>
    <row r="13" spans="1:4" s="193" customFormat="1" ht="13.5" x14ac:dyDescent="0.25">
      <c r="A13" s="205"/>
      <c r="B13" s="205"/>
      <c r="C13" s="204" t="s">
        <v>1882</v>
      </c>
      <c r="D13" s="205"/>
    </row>
    <row r="14" spans="1:4" s="193" customFormat="1" ht="13.5" x14ac:dyDescent="0.25">
      <c r="A14" s="206">
        <v>90900</v>
      </c>
      <c r="B14" s="206" t="s">
        <v>1595</v>
      </c>
      <c r="C14" s="211" t="s">
        <v>1883</v>
      </c>
      <c r="D14" s="206">
        <v>62.65</v>
      </c>
    </row>
    <row r="15" spans="1:4" s="193" customFormat="1" ht="13.5" x14ac:dyDescent="0.25">
      <c r="A15" s="206">
        <v>90967</v>
      </c>
      <c r="B15" s="206" t="s">
        <v>1596</v>
      </c>
      <c r="C15" s="211" t="s">
        <v>1884</v>
      </c>
      <c r="D15" s="206">
        <v>52.99</v>
      </c>
    </row>
    <row r="16" spans="1:4" s="193" customFormat="1" ht="13.5" x14ac:dyDescent="0.25">
      <c r="A16" s="208">
        <v>90985</v>
      </c>
      <c r="B16" s="208" t="s">
        <v>895</v>
      </c>
      <c r="C16" s="212" t="s">
        <v>355</v>
      </c>
      <c r="D16" s="208">
        <v>19.25</v>
      </c>
    </row>
    <row r="17" s="193" customFormat="1" ht="13.5" x14ac:dyDescent="0.25"/>
    <row r="18" s="193" customFormat="1" ht="13.5" x14ac:dyDescent="0.25"/>
    <row r="19" s="193" customFormat="1" ht="13.5" x14ac:dyDescent="0.25"/>
    <row r="20" s="193" customFormat="1" ht="13.5" x14ac:dyDescent="0.25"/>
    <row r="21" s="193" customFormat="1" ht="13.5" x14ac:dyDescent="0.25"/>
    <row r="22" s="193" customFormat="1" ht="13.5" x14ac:dyDescent="0.25"/>
    <row r="23" s="193" customFormat="1" ht="13.5" x14ac:dyDescent="0.25"/>
    <row r="24" s="193" customFormat="1" ht="13.5" x14ac:dyDescent="0.25"/>
    <row r="25" s="193" customFormat="1" ht="13.5" x14ac:dyDescent="0.25"/>
    <row r="26" s="193" customFormat="1" ht="13.5" x14ac:dyDescent="0.25"/>
    <row r="27" s="193" customFormat="1" ht="13.5" x14ac:dyDescent="0.25"/>
    <row r="28" s="193" customFormat="1" ht="13.5" x14ac:dyDescent="0.25"/>
    <row r="29" s="193" customFormat="1" ht="13.5" x14ac:dyDescent="0.25"/>
    <row r="30" s="193" customFormat="1" ht="13.5" x14ac:dyDescent="0.25"/>
    <row r="31" s="193" customFormat="1" ht="13.5" x14ac:dyDescent="0.25"/>
    <row r="32" s="193" customFormat="1" ht="13.5" x14ac:dyDescent="0.25"/>
    <row r="33" s="193" customFormat="1" ht="13.5" x14ac:dyDescent="0.25"/>
    <row r="34" s="193" customFormat="1" ht="13.5" x14ac:dyDescent="0.25"/>
    <row r="35" s="193" customFormat="1" ht="13.5" x14ac:dyDescent="0.25"/>
    <row r="36" s="193" customFormat="1" ht="13.5" x14ac:dyDescent="0.25"/>
    <row r="37" s="193" customFormat="1" ht="13.5" x14ac:dyDescent="0.25"/>
    <row r="38" s="193" customFormat="1" ht="13.5" x14ac:dyDescent="0.25"/>
    <row r="39" s="193" customFormat="1" ht="13.5" x14ac:dyDescent="0.25"/>
    <row r="40" s="193" customFormat="1" ht="13.5" x14ac:dyDescent="0.25"/>
    <row r="41" s="193" customFormat="1" ht="13.5" x14ac:dyDescent="0.25"/>
    <row r="42" s="193" customFormat="1" ht="13.5" x14ac:dyDescent="0.25"/>
    <row r="43" s="193" customFormat="1" ht="13.5" x14ac:dyDescent="0.25"/>
    <row r="44" s="193" customFormat="1" ht="13.5" x14ac:dyDescent="0.25"/>
    <row r="45" s="193" customFormat="1" ht="13.5" x14ac:dyDescent="0.25"/>
    <row r="46" s="193" customFormat="1" ht="13.5" x14ac:dyDescent="0.25"/>
    <row r="47" s="193" customFormat="1" ht="13.5" x14ac:dyDescent="0.25"/>
    <row r="48" s="193" customFormat="1" ht="13.5" x14ac:dyDescent="0.25"/>
    <row r="49" s="193" customFormat="1" ht="13.5" x14ac:dyDescent="0.25"/>
    <row r="50" s="193" customFormat="1" ht="13.5" x14ac:dyDescent="0.25"/>
    <row r="51" s="193" customFormat="1" ht="13.5" x14ac:dyDescent="0.25"/>
    <row r="52" s="193" customFormat="1" ht="13.5" x14ac:dyDescent="0.25"/>
    <row r="53" s="193" customFormat="1" ht="13.5" x14ac:dyDescent="0.25"/>
    <row r="54" s="193" customFormat="1" ht="13.5" x14ac:dyDescent="0.25"/>
    <row r="55" s="193" customFormat="1" ht="13.5" x14ac:dyDescent="0.25"/>
    <row r="56" s="193" customFormat="1" ht="13.5" x14ac:dyDescent="0.25"/>
    <row r="57" s="193" customFormat="1" ht="13.5" x14ac:dyDescent="0.25"/>
    <row r="58" s="193" customFormat="1" ht="13.5" x14ac:dyDescent="0.25"/>
    <row r="59" s="193" customFormat="1" ht="13.5" x14ac:dyDescent="0.25"/>
    <row r="60" s="193" customFormat="1" ht="13.5" x14ac:dyDescent="0.25"/>
    <row r="61" s="193" customFormat="1" ht="13.5" x14ac:dyDescent="0.25"/>
    <row r="62" s="193" customFormat="1" ht="13.5" x14ac:dyDescent="0.25"/>
    <row r="63" s="193" customFormat="1" ht="13.5" x14ac:dyDescent="0.25"/>
    <row r="64" s="193" customFormat="1" ht="13.5" x14ac:dyDescent="0.25"/>
    <row r="65" s="193" customFormat="1" ht="13.5" x14ac:dyDescent="0.25"/>
    <row r="66" s="193" customFormat="1" ht="13.5" x14ac:dyDescent="0.25"/>
    <row r="67" s="193" customFormat="1" ht="13.5" x14ac:dyDescent="0.25"/>
    <row r="68" s="193" customFormat="1" ht="13.5" x14ac:dyDescent="0.25"/>
    <row r="69" s="193" customFormat="1" ht="13.5" x14ac:dyDescent="0.25"/>
    <row r="70" s="193" customFormat="1" ht="13.5" x14ac:dyDescent="0.25"/>
    <row r="71" s="193" customFormat="1" ht="13.5" x14ac:dyDescent="0.25"/>
    <row r="72" s="193" customFormat="1" ht="13.5" x14ac:dyDescent="0.25"/>
    <row r="73" s="193" customFormat="1" ht="13.5" x14ac:dyDescent="0.25"/>
    <row r="74" s="193" customFormat="1" ht="13.5" x14ac:dyDescent="0.25"/>
    <row r="75" s="193" customFormat="1" ht="13.5" x14ac:dyDescent="0.25"/>
    <row r="76" s="193" customFormat="1" ht="13.5" x14ac:dyDescent="0.25"/>
    <row r="77" s="193" customFormat="1" ht="13.5" x14ac:dyDescent="0.25"/>
    <row r="78" s="193" customFormat="1" ht="13.5" x14ac:dyDescent="0.25"/>
    <row r="79" s="193" customFormat="1" ht="13.5" x14ac:dyDescent="0.25"/>
    <row r="80" s="193" customFormat="1" ht="13.5" x14ac:dyDescent="0.25"/>
    <row r="81" s="193" customFormat="1" ht="13.5" x14ac:dyDescent="0.25"/>
    <row r="82" s="193" customFormat="1" ht="13.5" x14ac:dyDescent="0.25"/>
    <row r="83" s="193" customFormat="1" ht="13.5" x14ac:dyDescent="0.25"/>
    <row r="84" s="193" customFormat="1" ht="13.5" x14ac:dyDescent="0.25"/>
    <row r="85" s="193" customFormat="1" ht="13.5" x14ac:dyDescent="0.25"/>
    <row r="86" s="193" customFormat="1" ht="13.5" x14ac:dyDescent="0.25"/>
    <row r="87" s="193" customFormat="1" ht="13.5" x14ac:dyDescent="0.25"/>
    <row r="88" s="193" customFormat="1" ht="13.5" x14ac:dyDescent="0.25"/>
    <row r="89" s="193" customFormat="1" ht="13.5" x14ac:dyDescent="0.25"/>
    <row r="90" s="193" customFormat="1" ht="13.5" x14ac:dyDescent="0.25"/>
    <row r="91" s="193" customFormat="1" ht="13.5" x14ac:dyDescent="0.25"/>
    <row r="92" s="193" customFormat="1" ht="13.5" x14ac:dyDescent="0.25"/>
    <row r="93" s="193" customFormat="1" ht="13.5" x14ac:dyDescent="0.25"/>
    <row r="94" s="193" customFormat="1" ht="13.5" x14ac:dyDescent="0.25"/>
    <row r="95" s="193" customFormat="1" ht="13.5" x14ac:dyDescent="0.25"/>
    <row r="96" s="193" customFormat="1" ht="13.5" x14ac:dyDescent="0.25"/>
    <row r="97" s="193" customFormat="1" ht="13.5" x14ac:dyDescent="0.25"/>
    <row r="98" s="193" customFormat="1" ht="13.5" x14ac:dyDescent="0.25"/>
    <row r="99" s="193" customFormat="1" ht="13.5" x14ac:dyDescent="0.25"/>
    <row r="100" s="193" customFormat="1" ht="13.5" x14ac:dyDescent="0.25"/>
    <row r="101" s="193" customFormat="1" ht="13.5" x14ac:dyDescent="0.25"/>
    <row r="102" s="193" customFormat="1" ht="13.5" x14ac:dyDescent="0.25"/>
    <row r="103" s="193" customFormat="1" ht="13.5" x14ac:dyDescent="0.25"/>
    <row r="104" s="193" customFormat="1" ht="13.5" x14ac:dyDescent="0.25"/>
    <row r="105" s="193" customFormat="1" ht="13.5" x14ac:dyDescent="0.25"/>
    <row r="106" s="193" customFormat="1" ht="13.5" x14ac:dyDescent="0.25"/>
    <row r="107" s="193" customFormat="1" ht="13.5" x14ac:dyDescent="0.25"/>
    <row r="108" s="193" customFormat="1" ht="13.5" x14ac:dyDescent="0.25"/>
    <row r="109" s="193" customFormat="1" ht="13.5" x14ac:dyDescent="0.25"/>
    <row r="110" s="193" customFormat="1" ht="13.5" x14ac:dyDescent="0.25"/>
    <row r="111" s="193" customFormat="1" ht="13.5" x14ac:dyDescent="0.25"/>
    <row r="112" s="193" customFormat="1" ht="13.5" x14ac:dyDescent="0.25"/>
    <row r="113" s="193" customFormat="1" ht="13.5" x14ac:dyDescent="0.25"/>
    <row r="114" s="193" customFormat="1" ht="13.5" x14ac:dyDescent="0.25"/>
    <row r="115" s="193" customFormat="1" ht="13.5" x14ac:dyDescent="0.25"/>
    <row r="116" s="193" customFormat="1" ht="13.5" x14ac:dyDescent="0.25"/>
    <row r="117" s="193" customFormat="1" ht="13.5" x14ac:dyDescent="0.25"/>
    <row r="118" s="193" customFormat="1" ht="13.5" x14ac:dyDescent="0.25"/>
    <row r="119" s="193" customFormat="1" ht="13.5" x14ac:dyDescent="0.25"/>
    <row r="120" s="193" customFormat="1" ht="13.5" x14ac:dyDescent="0.25"/>
    <row r="121" s="193" customFormat="1" ht="13.5" x14ac:dyDescent="0.25"/>
    <row r="122" s="193" customFormat="1" ht="13.5" x14ac:dyDescent="0.25"/>
    <row r="123" s="193" customFormat="1" ht="13.5" x14ac:dyDescent="0.25"/>
    <row r="124" s="193" customFormat="1" ht="13.5" x14ac:dyDescent="0.25"/>
    <row r="125" s="193" customFormat="1" ht="13.5" x14ac:dyDescent="0.25"/>
    <row r="126" s="193" customFormat="1" ht="13.5" x14ac:dyDescent="0.25"/>
    <row r="127" s="193" customFormat="1" ht="13.5" x14ac:dyDescent="0.25"/>
    <row r="128" s="193" customFormat="1" ht="13.5" x14ac:dyDescent="0.25"/>
    <row r="129" s="193" customFormat="1" ht="13.5" x14ac:dyDescent="0.25"/>
    <row r="130" s="193" customFormat="1" ht="13.5" x14ac:dyDescent="0.25"/>
    <row r="131" s="193" customFormat="1" ht="13.5" x14ac:dyDescent="0.25"/>
    <row r="132" s="193" customFormat="1" ht="13.5" x14ac:dyDescent="0.25"/>
    <row r="133" s="193" customFormat="1" ht="13.5" x14ac:dyDescent="0.25"/>
    <row r="134" s="193" customFormat="1" ht="13.5" x14ac:dyDescent="0.25"/>
    <row r="135" s="193" customFormat="1" ht="13.5" x14ac:dyDescent="0.25"/>
    <row r="136" s="193" customFormat="1" ht="13.5" x14ac:dyDescent="0.25"/>
    <row r="137" s="193" customFormat="1" ht="13.5" x14ac:dyDescent="0.25"/>
    <row r="138" s="193" customFormat="1" ht="13.5" x14ac:dyDescent="0.25"/>
    <row r="139" s="193" customFormat="1" ht="13.5" x14ac:dyDescent="0.25"/>
    <row r="140" s="193" customFormat="1" ht="13.5" x14ac:dyDescent="0.25"/>
    <row r="141" s="193" customFormat="1" ht="13.5" x14ac:dyDescent="0.25"/>
    <row r="142" s="193" customFormat="1" ht="13.5" x14ac:dyDescent="0.25"/>
    <row r="143" s="193" customFormat="1" ht="13.5" x14ac:dyDescent="0.25"/>
    <row r="144" s="193" customFormat="1" ht="13.5" x14ac:dyDescent="0.25"/>
    <row r="145" s="193" customFormat="1" ht="13.5" x14ac:dyDescent="0.25"/>
    <row r="146" s="193" customFormat="1" ht="13.5" x14ac:dyDescent="0.25"/>
    <row r="147" s="193" customFormat="1" ht="13.5" x14ac:dyDescent="0.25"/>
    <row r="148" s="193" customFormat="1" ht="13.5" x14ac:dyDescent="0.25"/>
    <row r="149" s="193" customFormat="1" ht="13.5" x14ac:dyDescent="0.25"/>
    <row r="150" s="193" customFormat="1" ht="13.5" x14ac:dyDescent="0.25"/>
    <row r="151" s="193" customFormat="1" ht="13.5" x14ac:dyDescent="0.25"/>
    <row r="152" s="193" customFormat="1" ht="13.5" x14ac:dyDescent="0.25"/>
    <row r="153" s="193" customFormat="1" ht="13.5" x14ac:dyDescent="0.25"/>
    <row r="154" s="193" customFormat="1" ht="13.5" x14ac:dyDescent="0.25"/>
    <row r="155" s="193" customFormat="1" ht="13.5" x14ac:dyDescent="0.25"/>
    <row r="156" s="193" customFormat="1" ht="13.5" x14ac:dyDescent="0.25"/>
    <row r="157" s="193" customFormat="1" ht="13.5" x14ac:dyDescent="0.25"/>
    <row r="158" s="193" customFormat="1" ht="13.5" x14ac:dyDescent="0.25"/>
    <row r="159" s="193" customFormat="1" ht="13.5" x14ac:dyDescent="0.25"/>
    <row r="160" s="193" customFormat="1" ht="13.5" x14ac:dyDescent="0.25"/>
    <row r="161" s="193" customFormat="1" ht="13.5" x14ac:dyDescent="0.25"/>
    <row r="162" s="193" customFormat="1" ht="13.5" x14ac:dyDescent="0.25"/>
    <row r="163" s="193" customFormat="1" ht="13.5" x14ac:dyDescent="0.25"/>
    <row r="164" s="193" customFormat="1" ht="13.5" x14ac:dyDescent="0.25"/>
    <row r="165" s="193" customFormat="1" ht="13.5" x14ac:dyDescent="0.25"/>
    <row r="166" s="193" customFormat="1" ht="13.5" x14ac:dyDescent="0.25"/>
    <row r="167" s="193" customFormat="1" ht="13.5" x14ac:dyDescent="0.25"/>
    <row r="168" s="193" customFormat="1" ht="13.5" x14ac:dyDescent="0.25"/>
    <row r="169" s="193" customFormat="1" ht="13.5" x14ac:dyDescent="0.25"/>
    <row r="170" s="193" customFormat="1" ht="13.5" x14ac:dyDescent="0.25"/>
    <row r="171" s="193" customFormat="1" ht="13.5" x14ac:dyDescent="0.25"/>
    <row r="172" s="193" customFormat="1" ht="13.5" x14ac:dyDescent="0.25"/>
    <row r="173" s="193" customFormat="1" ht="13.5" x14ac:dyDescent="0.25"/>
    <row r="174" s="193" customFormat="1" ht="13.5" x14ac:dyDescent="0.25"/>
    <row r="175" s="193" customFormat="1" ht="13.5" x14ac:dyDescent="0.25"/>
    <row r="176" s="193" customFormat="1" ht="13.5" x14ac:dyDescent="0.25"/>
    <row r="177" s="193" customFormat="1" ht="13.5" x14ac:dyDescent="0.25"/>
    <row r="178" s="193" customFormat="1" ht="13.5" x14ac:dyDescent="0.25"/>
    <row r="179" s="193" customFormat="1" ht="13.5" x14ac:dyDescent="0.25"/>
    <row r="180" s="193" customFormat="1" ht="13.5" x14ac:dyDescent="0.25"/>
    <row r="181" s="193" customFormat="1" ht="13.5" x14ac:dyDescent="0.25"/>
    <row r="182" s="193" customFormat="1" ht="13.5" x14ac:dyDescent="0.25"/>
    <row r="183" s="193" customFormat="1" ht="13.5" x14ac:dyDescent="0.25"/>
    <row r="184" s="193" customFormat="1" ht="13.5" x14ac:dyDescent="0.25"/>
    <row r="185" s="193" customFormat="1" ht="13.5" x14ac:dyDescent="0.25"/>
    <row r="186" s="193" customFormat="1" ht="13.5" x14ac:dyDescent="0.25"/>
    <row r="187" s="193" customFormat="1" ht="13.5" x14ac:dyDescent="0.25"/>
    <row r="188" s="193" customFormat="1" ht="13.5" x14ac:dyDescent="0.25"/>
    <row r="189" s="193" customFormat="1" ht="13.5" x14ac:dyDescent="0.25"/>
    <row r="190" s="193" customFormat="1" ht="13.5" x14ac:dyDescent="0.25"/>
    <row r="191" s="193" customFormat="1" ht="13.5" x14ac:dyDescent="0.25"/>
    <row r="192" s="193" customFormat="1" ht="13.5" x14ac:dyDescent="0.25"/>
    <row r="193" s="193" customFormat="1" ht="13.5" x14ac:dyDescent="0.25"/>
    <row r="194" s="193" customFormat="1" ht="13.5" x14ac:dyDescent="0.25"/>
    <row r="195" s="193" customFormat="1" ht="13.5" x14ac:dyDescent="0.25"/>
    <row r="196" s="193" customFormat="1" ht="13.5" x14ac:dyDescent="0.25"/>
    <row r="197" s="193" customFormat="1" ht="13.5" x14ac:dyDescent="0.25"/>
    <row r="198" s="193" customFormat="1" ht="13.5" x14ac:dyDescent="0.25"/>
    <row r="199" s="193" customFormat="1" ht="13.5" x14ac:dyDescent="0.25"/>
    <row r="200" s="193" customFormat="1" ht="13.5" x14ac:dyDescent="0.25"/>
    <row r="201" s="193" customFormat="1" ht="13.5" x14ac:dyDescent="0.25"/>
    <row r="202" s="193" customFormat="1" ht="13.5" x14ac:dyDescent="0.25"/>
    <row r="203" s="193" customFormat="1" ht="13.5" x14ac:dyDescent="0.25"/>
    <row r="204" s="193" customFormat="1" ht="13.5" x14ac:dyDescent="0.25"/>
    <row r="205" s="193" customFormat="1" ht="13.5" x14ac:dyDescent="0.25"/>
    <row r="206" s="193" customFormat="1" ht="13.5" x14ac:dyDescent="0.25"/>
    <row r="207" s="193" customFormat="1" ht="13.5" x14ac:dyDescent="0.25"/>
    <row r="208" s="193" customFormat="1" ht="13.5" x14ac:dyDescent="0.25"/>
    <row r="209" s="193" customFormat="1" ht="13.5" x14ac:dyDescent="0.25"/>
    <row r="210" s="193" customFormat="1" ht="13.5" x14ac:dyDescent="0.25"/>
    <row r="211" s="193" customFormat="1" ht="13.5" x14ac:dyDescent="0.25"/>
    <row r="212" s="193" customFormat="1" ht="13.5" x14ac:dyDescent="0.25"/>
    <row r="213" s="193" customFormat="1" ht="13.5" x14ac:dyDescent="0.25"/>
    <row r="214" s="193" customFormat="1" ht="13.5" x14ac:dyDescent="0.25"/>
    <row r="215" s="193" customFormat="1" ht="13.5" x14ac:dyDescent="0.25"/>
    <row r="216" s="193" customFormat="1" ht="13.5" x14ac:dyDescent="0.25"/>
    <row r="217" s="193" customFormat="1" ht="13.5" x14ac:dyDescent="0.25"/>
    <row r="218" s="193" customFormat="1" ht="13.5" x14ac:dyDescent="0.25"/>
    <row r="219" s="193" customFormat="1" ht="13.5" x14ac:dyDescent="0.25"/>
    <row r="220" s="193" customFormat="1" ht="13.5" x14ac:dyDescent="0.25"/>
    <row r="221" s="193" customFormat="1" ht="13.5" x14ac:dyDescent="0.25"/>
    <row r="222" s="193" customFormat="1" ht="13.5" x14ac:dyDescent="0.25"/>
    <row r="223" s="193" customFormat="1" ht="13.5" x14ac:dyDescent="0.25"/>
    <row r="224" s="193" customFormat="1" ht="13.5" x14ac:dyDescent="0.25"/>
    <row r="225" s="193" customFormat="1" ht="13.5" x14ac:dyDescent="0.25"/>
    <row r="226" s="193" customFormat="1" ht="13.5" x14ac:dyDescent="0.25"/>
    <row r="227" s="193" customFormat="1" ht="13.5" x14ac:dyDescent="0.25"/>
    <row r="228" s="193" customFormat="1" ht="13.5" x14ac:dyDescent="0.25"/>
    <row r="229" s="193" customFormat="1" ht="13.5" x14ac:dyDescent="0.25"/>
    <row r="230" s="193" customFormat="1" ht="13.5" x14ac:dyDescent="0.25"/>
    <row r="231" s="193" customFormat="1" ht="13.5" x14ac:dyDescent="0.25"/>
    <row r="232" s="193" customFormat="1" ht="13.5" x14ac:dyDescent="0.25"/>
    <row r="233" s="193" customFormat="1" ht="13.5" x14ac:dyDescent="0.25"/>
    <row r="234" s="193" customFormat="1" ht="13.5" x14ac:dyDescent="0.25"/>
    <row r="235" s="193" customFormat="1" ht="13.5" x14ac:dyDescent="0.25"/>
    <row r="236" s="193" customFormat="1" ht="13.5" x14ac:dyDescent="0.25"/>
    <row r="237" s="193" customFormat="1" ht="13.5" x14ac:dyDescent="0.25"/>
    <row r="238" s="193" customFormat="1" ht="13.5" x14ac:dyDescent="0.25"/>
    <row r="239" s="193" customFormat="1" ht="13.5" x14ac:dyDescent="0.25"/>
    <row r="240" s="193" customFormat="1" ht="13.5" x14ac:dyDescent="0.25"/>
    <row r="241" s="193" customFormat="1" ht="13.5" x14ac:dyDescent="0.25"/>
    <row r="242" s="193" customFormat="1" ht="13.5" x14ac:dyDescent="0.25"/>
    <row r="243" s="193" customFormat="1" ht="13.5" x14ac:dyDescent="0.25"/>
    <row r="244" s="193" customFormat="1" ht="13.5" x14ac:dyDescent="0.25"/>
    <row r="245" s="193" customFormat="1" ht="13.5" x14ac:dyDescent="0.25"/>
    <row r="246" s="193" customFormat="1" ht="13.5" x14ac:dyDescent="0.25"/>
    <row r="247" s="193" customFormat="1" ht="13.5" x14ac:dyDescent="0.25"/>
    <row r="248" s="193" customFormat="1" ht="13.5" x14ac:dyDescent="0.25"/>
    <row r="249" s="193" customFormat="1" ht="13.5" x14ac:dyDescent="0.25"/>
    <row r="250" s="193" customFormat="1" ht="13.5" x14ac:dyDescent="0.25"/>
    <row r="251" s="193" customFormat="1" ht="13.5" x14ac:dyDescent="0.25"/>
    <row r="252" s="193" customFormat="1" ht="13.5" x14ac:dyDescent="0.25"/>
    <row r="253" s="193" customFormat="1" ht="13.5" x14ac:dyDescent="0.25"/>
    <row r="254" s="193" customFormat="1" ht="13.5" x14ac:dyDescent="0.25"/>
    <row r="255" s="193" customFormat="1" ht="13.5" x14ac:dyDescent="0.25"/>
    <row r="256" s="193" customFormat="1" ht="13.5" x14ac:dyDescent="0.25"/>
    <row r="257" s="193" customFormat="1" ht="13.5" x14ac:dyDescent="0.25"/>
    <row r="258" s="193" customFormat="1" ht="13.5" x14ac:dyDescent="0.25"/>
    <row r="259" s="193" customFormat="1" ht="13.5" x14ac:dyDescent="0.25"/>
    <row r="260" s="193" customFormat="1" ht="13.5" x14ac:dyDescent="0.25"/>
    <row r="261" s="193" customFormat="1" ht="13.5" x14ac:dyDescent="0.25"/>
    <row r="262" s="193" customFormat="1" ht="13.5" x14ac:dyDescent="0.25"/>
    <row r="263" s="193" customFormat="1" ht="13.5" x14ac:dyDescent="0.25"/>
    <row r="264" s="193" customFormat="1" ht="13.5" x14ac:dyDescent="0.25"/>
    <row r="265" s="193" customFormat="1" ht="13.5" x14ac:dyDescent="0.25"/>
    <row r="266" s="193" customFormat="1" ht="13.5" x14ac:dyDescent="0.25"/>
    <row r="267" s="193" customFormat="1" ht="13.5" x14ac:dyDescent="0.25"/>
    <row r="268" s="193" customFormat="1" ht="13.5" x14ac:dyDescent="0.25"/>
    <row r="269" s="193" customFormat="1" ht="13.5" x14ac:dyDescent="0.25"/>
    <row r="270" s="193" customFormat="1" ht="13.5" x14ac:dyDescent="0.25"/>
    <row r="271" s="193" customFormat="1" ht="13.5" x14ac:dyDescent="0.25"/>
    <row r="272" s="193" customFormat="1" ht="13.5" x14ac:dyDescent="0.25"/>
    <row r="273" s="193" customFormat="1" ht="13.5" x14ac:dyDescent="0.25"/>
    <row r="274" s="193" customFormat="1" ht="13.5" x14ac:dyDescent="0.25"/>
    <row r="275" s="193" customFormat="1" ht="13.5" x14ac:dyDescent="0.25"/>
    <row r="276" s="193" customFormat="1" ht="13.5" x14ac:dyDescent="0.25"/>
    <row r="277" s="193" customFormat="1" ht="13.5" x14ac:dyDescent="0.25"/>
    <row r="278" s="193" customFormat="1" ht="13.5" x14ac:dyDescent="0.25"/>
    <row r="279" s="193" customFormat="1" ht="13.5" x14ac:dyDescent="0.25"/>
    <row r="280" s="193" customFormat="1" ht="13.5" x14ac:dyDescent="0.25"/>
    <row r="281" s="193" customFormat="1" ht="13.5" x14ac:dyDescent="0.25"/>
    <row r="282" s="193" customFormat="1" ht="13.5" x14ac:dyDescent="0.25"/>
    <row r="283" s="193" customFormat="1" ht="13.5" x14ac:dyDescent="0.25"/>
    <row r="284" s="193" customFormat="1" ht="13.5" x14ac:dyDescent="0.25"/>
    <row r="285" s="193" customFormat="1" ht="13.5" x14ac:dyDescent="0.25"/>
    <row r="286" s="193" customFormat="1" ht="13.5" x14ac:dyDescent="0.25"/>
    <row r="287" s="193" customFormat="1" ht="13.5" x14ac:dyDescent="0.25"/>
    <row r="288" s="193" customFormat="1" ht="13.5" x14ac:dyDescent="0.25"/>
    <row r="289" s="193" customFormat="1" ht="13.5" x14ac:dyDescent="0.25"/>
    <row r="290" s="193" customFormat="1" ht="13.5" x14ac:dyDescent="0.25"/>
    <row r="291" s="193" customFormat="1" ht="13.5" x14ac:dyDescent="0.25"/>
    <row r="292" s="193" customFormat="1" ht="13.5" x14ac:dyDescent="0.25"/>
    <row r="293" s="193" customFormat="1" ht="13.5" x14ac:dyDescent="0.25"/>
    <row r="294" s="193" customFormat="1" ht="13.5" x14ac:dyDescent="0.25"/>
    <row r="295" s="193" customFormat="1" ht="13.5" x14ac:dyDescent="0.25"/>
    <row r="296" s="193" customFormat="1" ht="13.5" x14ac:dyDescent="0.25"/>
    <row r="297" s="193" customFormat="1" ht="13.5" x14ac:dyDescent="0.25"/>
    <row r="298" s="193" customFormat="1" ht="13.5" x14ac:dyDescent="0.25"/>
    <row r="299" s="193" customFormat="1" ht="13.5" x14ac:dyDescent="0.25"/>
    <row r="300" s="193" customFormat="1" ht="13.5" x14ac:dyDescent="0.25"/>
    <row r="301" s="193" customFormat="1" ht="13.5" x14ac:dyDescent="0.25"/>
    <row r="302" s="193" customFormat="1" ht="13.5" x14ac:dyDescent="0.25"/>
    <row r="303" s="193" customFormat="1" ht="13.5" x14ac:dyDescent="0.25"/>
    <row r="304" s="193" customFormat="1" ht="13.5" x14ac:dyDescent="0.25"/>
    <row r="305" s="193" customFormat="1" ht="13.5" x14ac:dyDescent="0.25"/>
    <row r="306" s="193" customFormat="1" ht="13.5" x14ac:dyDescent="0.25"/>
    <row r="307" s="193" customFormat="1" ht="13.5" x14ac:dyDescent="0.25"/>
    <row r="308" s="193" customFormat="1" ht="13.5" x14ac:dyDescent="0.25"/>
    <row r="309" s="193" customFormat="1" ht="13.5" x14ac:dyDescent="0.25"/>
    <row r="310" s="193" customFormat="1" ht="13.5" x14ac:dyDescent="0.25"/>
    <row r="311" s="193" customFormat="1" ht="13.5" x14ac:dyDescent="0.25"/>
    <row r="312" s="193" customFormat="1" ht="13.5" x14ac:dyDescent="0.25"/>
    <row r="313" s="193" customFormat="1" ht="13.5" x14ac:dyDescent="0.25"/>
    <row r="314" s="193" customFormat="1" ht="13.5" x14ac:dyDescent="0.25"/>
    <row r="315" s="193" customFormat="1" ht="13.5" x14ac:dyDescent="0.25"/>
    <row r="316" s="193" customFormat="1" ht="13.5" x14ac:dyDescent="0.25"/>
    <row r="317" s="193" customFormat="1" ht="13.5" x14ac:dyDescent="0.25"/>
    <row r="318" s="193" customFormat="1" ht="13.5" x14ac:dyDescent="0.25"/>
    <row r="319" s="193" customFormat="1" ht="13.5" x14ac:dyDescent="0.25"/>
  </sheetData>
  <mergeCells count="4">
    <mergeCell ref="A3:B3"/>
    <mergeCell ref="C3:C4"/>
    <mergeCell ref="D3:D4"/>
    <mergeCell ref="A1:D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61259-E588-44BE-91DE-257EC2882E9D}">
  <dimension ref="A1:D319"/>
  <sheetViews>
    <sheetView showGridLines="0" showRowColHeaders="0" workbookViewId="0">
      <selection activeCell="C58" sqref="C58"/>
    </sheetView>
  </sheetViews>
  <sheetFormatPr defaultColWidth="8.7109375" defaultRowHeight="12.75" x14ac:dyDescent="0.2"/>
  <cols>
    <col min="1" max="2" width="6.42578125" style="191" customWidth="1"/>
    <col min="3" max="3" width="55.42578125" style="191" customWidth="1"/>
    <col min="4" max="4" width="7.28515625" style="191" customWidth="1"/>
    <col min="5" max="16384" width="8.7109375" style="191"/>
  </cols>
  <sheetData>
    <row r="1" spans="1:4" ht="38.1" customHeight="1" x14ac:dyDescent="0.2">
      <c r="A1" s="489" t="s">
        <v>1885</v>
      </c>
      <c r="B1" s="489"/>
      <c r="C1" s="489"/>
      <c r="D1" s="489"/>
    </row>
    <row r="2" spans="1:4" s="193" customFormat="1" ht="13.5" x14ac:dyDescent="0.25"/>
    <row r="3" spans="1:4" s="193" customFormat="1" ht="13.5" x14ac:dyDescent="0.25">
      <c r="A3" s="486" t="s">
        <v>363</v>
      </c>
      <c r="B3" s="486"/>
      <c r="C3" s="499" t="s">
        <v>1448</v>
      </c>
      <c r="D3" s="499" t="s">
        <v>1449</v>
      </c>
    </row>
    <row r="4" spans="1:4" s="193" customFormat="1" ht="13.5" x14ac:dyDescent="0.25">
      <c r="A4" s="210" t="s">
        <v>367</v>
      </c>
      <c r="B4" s="210" t="s">
        <v>368</v>
      </c>
      <c r="C4" s="500"/>
      <c r="D4" s="500"/>
    </row>
    <row r="5" spans="1:4" s="193" customFormat="1" ht="13.5" x14ac:dyDescent="0.25">
      <c r="A5" s="205"/>
      <c r="B5" s="205"/>
      <c r="C5" s="204" t="s">
        <v>1886</v>
      </c>
      <c r="D5" s="205"/>
    </row>
    <row r="6" spans="1:4" s="193" customFormat="1" ht="13.5" x14ac:dyDescent="0.25">
      <c r="A6" s="205"/>
      <c r="B6" s="205"/>
      <c r="C6" s="204" t="s">
        <v>1887</v>
      </c>
      <c r="D6" s="205"/>
    </row>
    <row r="7" spans="1:4" s="193" customFormat="1" ht="13.5" x14ac:dyDescent="0.25">
      <c r="A7" s="206">
        <v>80010</v>
      </c>
      <c r="B7" s="206" t="s">
        <v>1888</v>
      </c>
      <c r="C7" s="211" t="s">
        <v>1889</v>
      </c>
      <c r="D7" s="230">
        <v>17.48</v>
      </c>
    </row>
    <row r="8" spans="1:4" s="193" customFormat="1" ht="13.5" x14ac:dyDescent="0.25">
      <c r="A8" s="206">
        <v>80040</v>
      </c>
      <c r="B8" s="206" t="s">
        <v>1890</v>
      </c>
      <c r="C8" s="211" t="s">
        <v>1891</v>
      </c>
      <c r="D8" s="230">
        <v>16.63</v>
      </c>
    </row>
    <row r="9" spans="1:4" s="193" customFormat="1" ht="27" x14ac:dyDescent="0.25">
      <c r="A9" s="206">
        <v>80100</v>
      </c>
      <c r="B9" s="206" t="s">
        <v>1892</v>
      </c>
      <c r="C9" s="211" t="s">
        <v>1893</v>
      </c>
      <c r="D9" s="230">
        <v>19.23</v>
      </c>
    </row>
    <row r="10" spans="1:4" s="193" customFormat="1" ht="13.5" x14ac:dyDescent="0.25">
      <c r="A10" s="206">
        <v>80110</v>
      </c>
      <c r="B10" s="206" t="s">
        <v>1894</v>
      </c>
      <c r="C10" s="211" t="s">
        <v>1895</v>
      </c>
      <c r="D10" s="230">
        <v>23.4</v>
      </c>
    </row>
    <row r="11" spans="1:4" s="193" customFormat="1" ht="27" x14ac:dyDescent="0.25">
      <c r="A11" s="206">
        <v>80115</v>
      </c>
      <c r="B11" s="206" t="s">
        <v>1896</v>
      </c>
      <c r="C11" s="211" t="s">
        <v>1897</v>
      </c>
      <c r="D11" s="230">
        <v>25.96</v>
      </c>
    </row>
    <row r="12" spans="1:4" s="193" customFormat="1" ht="27" x14ac:dyDescent="0.25">
      <c r="A12" s="206">
        <v>80117</v>
      </c>
      <c r="B12" s="206" t="s">
        <v>1898</v>
      </c>
      <c r="C12" s="211" t="s">
        <v>1899</v>
      </c>
      <c r="D12" s="230">
        <v>25.96</v>
      </c>
    </row>
    <row r="13" spans="1:4" s="193" customFormat="1" ht="13.5" x14ac:dyDescent="0.25">
      <c r="A13" s="206">
        <v>80121</v>
      </c>
      <c r="B13" s="206" t="s">
        <v>1900</v>
      </c>
      <c r="C13" s="211" t="s">
        <v>1901</v>
      </c>
      <c r="D13" s="230">
        <v>25.96</v>
      </c>
    </row>
    <row r="14" spans="1:4" s="193" customFormat="1" ht="13.5" x14ac:dyDescent="0.25">
      <c r="A14" s="206">
        <v>80130</v>
      </c>
      <c r="B14" s="206" t="s">
        <v>1902</v>
      </c>
      <c r="C14" s="211" t="s">
        <v>1903</v>
      </c>
      <c r="D14" s="230">
        <v>19.23</v>
      </c>
    </row>
    <row r="15" spans="1:4" s="193" customFormat="1" ht="13.5" x14ac:dyDescent="0.25">
      <c r="A15" s="206">
        <v>80160</v>
      </c>
      <c r="B15" s="206" t="s">
        <v>1904</v>
      </c>
      <c r="C15" s="211" t="s">
        <v>1905</v>
      </c>
      <c r="D15" s="230">
        <v>20.39</v>
      </c>
    </row>
    <row r="16" spans="1:4" s="193" customFormat="1" ht="13.5" x14ac:dyDescent="0.25">
      <c r="A16" s="206">
        <v>80170</v>
      </c>
      <c r="B16" s="206" t="s">
        <v>1906</v>
      </c>
      <c r="C16" s="211" t="s">
        <v>1907</v>
      </c>
      <c r="D16" s="230">
        <v>22.43</v>
      </c>
    </row>
    <row r="17" spans="1:4" s="193" customFormat="1" ht="27" x14ac:dyDescent="0.25">
      <c r="A17" s="206">
        <v>80200</v>
      </c>
      <c r="B17" s="206" t="s">
        <v>1908</v>
      </c>
      <c r="C17" s="211" t="s">
        <v>1909</v>
      </c>
      <c r="D17" s="230">
        <v>37.76</v>
      </c>
    </row>
    <row r="18" spans="1:4" s="193" customFormat="1" ht="27" x14ac:dyDescent="0.25">
      <c r="A18" s="205"/>
      <c r="B18" s="205"/>
      <c r="C18" s="211" t="s">
        <v>1910</v>
      </c>
      <c r="D18" s="236"/>
    </row>
    <row r="19" spans="1:4" s="193" customFormat="1" ht="13.5" x14ac:dyDescent="0.25">
      <c r="A19" s="205"/>
      <c r="B19" s="205"/>
      <c r="C19" s="204" t="s">
        <v>1911</v>
      </c>
      <c r="D19" s="236"/>
    </row>
    <row r="20" spans="1:4" s="193" customFormat="1" ht="13.5" x14ac:dyDescent="0.25">
      <c r="A20" s="206">
        <v>81261</v>
      </c>
      <c r="B20" s="206" t="s">
        <v>1912</v>
      </c>
      <c r="C20" s="211" t="s">
        <v>1913</v>
      </c>
      <c r="D20" s="230">
        <v>6</v>
      </c>
    </row>
    <row r="21" spans="1:4" s="193" customFormat="1" ht="27" x14ac:dyDescent="0.25">
      <c r="A21" s="206">
        <v>81262</v>
      </c>
      <c r="B21" s="206" t="s">
        <v>1914</v>
      </c>
      <c r="C21" s="211" t="s">
        <v>1915</v>
      </c>
      <c r="D21" s="230">
        <v>10</v>
      </c>
    </row>
    <row r="22" spans="1:4" s="193" customFormat="1" ht="27" x14ac:dyDescent="0.25">
      <c r="A22" s="206">
        <v>81263</v>
      </c>
      <c r="B22" s="206" t="s">
        <v>1916</v>
      </c>
      <c r="C22" s="211" t="s">
        <v>1917</v>
      </c>
      <c r="D22" s="230">
        <v>5</v>
      </c>
    </row>
    <row r="23" spans="1:4" s="193" customFormat="1" ht="27" x14ac:dyDescent="0.25">
      <c r="A23" s="206">
        <v>81264</v>
      </c>
      <c r="B23" s="206" t="s">
        <v>1918</v>
      </c>
      <c r="C23" s="211" t="s">
        <v>1919</v>
      </c>
      <c r="D23" s="230">
        <v>12</v>
      </c>
    </row>
    <row r="24" spans="1:4" s="193" customFormat="1" ht="13.5" x14ac:dyDescent="0.25">
      <c r="A24" s="205"/>
      <c r="B24" s="205"/>
      <c r="C24" s="204" t="s">
        <v>1920</v>
      </c>
      <c r="D24" s="236"/>
    </row>
    <row r="25" spans="1:4" s="193" customFormat="1" ht="13.5" x14ac:dyDescent="0.25">
      <c r="A25" s="205"/>
      <c r="B25" s="205"/>
      <c r="C25" s="211" t="s">
        <v>1921</v>
      </c>
      <c r="D25" s="236"/>
    </row>
    <row r="26" spans="1:4" s="193" customFormat="1" ht="13.5" x14ac:dyDescent="0.25">
      <c r="A26" s="205"/>
      <c r="B26" s="205"/>
      <c r="C26" s="211" t="s">
        <v>1922</v>
      </c>
      <c r="D26" s="236"/>
    </row>
    <row r="27" spans="1:4" s="193" customFormat="1" ht="13.5" x14ac:dyDescent="0.25">
      <c r="A27" s="205"/>
      <c r="B27" s="205"/>
      <c r="C27" s="204" t="s">
        <v>1923</v>
      </c>
      <c r="D27" s="236"/>
    </row>
    <row r="28" spans="1:4" s="193" customFormat="1" ht="13.5" x14ac:dyDescent="0.25">
      <c r="A28" s="205"/>
      <c r="B28" s="205"/>
      <c r="C28" s="204" t="s">
        <v>1924</v>
      </c>
      <c r="D28" s="236"/>
    </row>
    <row r="29" spans="1:4" s="193" customFormat="1" ht="13.5" x14ac:dyDescent="0.25">
      <c r="A29" s="205"/>
      <c r="B29" s="205"/>
      <c r="C29" s="211" t="s">
        <v>1925</v>
      </c>
      <c r="D29" s="236"/>
    </row>
    <row r="30" spans="1:4" s="193" customFormat="1" ht="13.5" x14ac:dyDescent="0.25">
      <c r="A30" s="206">
        <v>81920</v>
      </c>
      <c r="B30" s="206" t="s">
        <v>1926</v>
      </c>
      <c r="C30" s="211" t="s">
        <v>1927</v>
      </c>
      <c r="D30" s="230">
        <v>24.92</v>
      </c>
    </row>
    <row r="31" spans="1:4" s="193" customFormat="1" ht="13.5" x14ac:dyDescent="0.25">
      <c r="A31" s="206">
        <v>81925</v>
      </c>
      <c r="B31" s="206" t="s">
        <v>1928</v>
      </c>
      <c r="C31" s="211" t="s">
        <v>1929</v>
      </c>
      <c r="D31" s="230">
        <v>24.92</v>
      </c>
    </row>
    <row r="32" spans="1:4" s="193" customFormat="1" ht="13.5" x14ac:dyDescent="0.25">
      <c r="A32" s="206">
        <v>81927</v>
      </c>
      <c r="B32" s="206" t="s">
        <v>1930</v>
      </c>
      <c r="C32" s="211" t="s">
        <v>1931</v>
      </c>
      <c r="D32" s="230">
        <v>24.92</v>
      </c>
    </row>
    <row r="33" spans="1:4" s="193" customFormat="1" ht="13.5" x14ac:dyDescent="0.25">
      <c r="A33" s="206">
        <v>81900</v>
      </c>
      <c r="B33" s="206" t="s">
        <v>1932</v>
      </c>
      <c r="C33" s="211" t="s">
        <v>332</v>
      </c>
      <c r="D33" s="230">
        <v>21.6</v>
      </c>
    </row>
    <row r="34" spans="1:4" s="193" customFormat="1" ht="13.5" x14ac:dyDescent="0.25">
      <c r="A34" s="205"/>
      <c r="B34" s="206" t="s">
        <v>1933</v>
      </c>
      <c r="C34" s="211" t="s">
        <v>1934</v>
      </c>
      <c r="D34" s="230">
        <v>21.6</v>
      </c>
    </row>
    <row r="35" spans="1:4" s="193" customFormat="1" ht="13.5" x14ac:dyDescent="0.25">
      <c r="A35" s="206">
        <v>81957</v>
      </c>
      <c r="B35" s="206" t="s">
        <v>1935</v>
      </c>
      <c r="C35" s="211" t="s">
        <v>1936</v>
      </c>
      <c r="D35" s="230">
        <v>12.96</v>
      </c>
    </row>
    <row r="36" spans="1:4" s="193" customFormat="1" ht="13.5" x14ac:dyDescent="0.25">
      <c r="A36" s="206">
        <v>81971</v>
      </c>
      <c r="B36" s="206" t="s">
        <v>996</v>
      </c>
      <c r="C36" s="211" t="s">
        <v>1937</v>
      </c>
      <c r="D36" s="230">
        <v>12.96</v>
      </c>
    </row>
    <row r="37" spans="1:4" s="193" customFormat="1" ht="27" x14ac:dyDescent="0.25">
      <c r="A37" s="206">
        <v>81099</v>
      </c>
      <c r="B37" s="206" t="s">
        <v>1938</v>
      </c>
      <c r="C37" s="211" t="s">
        <v>1939</v>
      </c>
      <c r="D37" s="230">
        <v>12.96</v>
      </c>
    </row>
    <row r="38" spans="1:4" s="193" customFormat="1" ht="13.5" x14ac:dyDescent="0.25">
      <c r="A38" s="206">
        <v>81972</v>
      </c>
      <c r="B38" s="206" t="s">
        <v>1940</v>
      </c>
      <c r="C38" s="211" t="s">
        <v>1941</v>
      </c>
      <c r="D38" s="230">
        <v>5.18</v>
      </c>
    </row>
    <row r="39" spans="1:4" s="193" customFormat="1" ht="13.5" x14ac:dyDescent="0.25">
      <c r="A39" s="205"/>
      <c r="B39" s="206" t="s">
        <v>1942</v>
      </c>
      <c r="C39" s="211" t="s">
        <v>1943</v>
      </c>
      <c r="D39" s="230">
        <v>2.36</v>
      </c>
    </row>
    <row r="40" spans="1:4" s="193" customFormat="1" ht="13.5" x14ac:dyDescent="0.25">
      <c r="A40" s="205"/>
      <c r="B40" s="205"/>
      <c r="C40" s="204" t="s">
        <v>1944</v>
      </c>
      <c r="D40" s="236"/>
    </row>
    <row r="41" spans="1:4" s="193" customFormat="1" ht="13.5" x14ac:dyDescent="0.25">
      <c r="A41" s="206">
        <v>81987</v>
      </c>
      <c r="B41" s="206" t="s">
        <v>1044</v>
      </c>
      <c r="C41" s="211" t="s">
        <v>1945</v>
      </c>
      <c r="D41" s="230">
        <v>32.08</v>
      </c>
    </row>
    <row r="42" spans="1:4" s="193" customFormat="1" ht="13.5" x14ac:dyDescent="0.25">
      <c r="A42" s="206">
        <v>81915</v>
      </c>
      <c r="B42" s="206" t="s">
        <v>1946</v>
      </c>
      <c r="C42" s="211" t="s">
        <v>1947</v>
      </c>
      <c r="D42" s="230">
        <v>35.28</v>
      </c>
    </row>
    <row r="43" spans="1:4" s="193" customFormat="1" ht="13.5" x14ac:dyDescent="0.25">
      <c r="A43" s="206">
        <v>81982</v>
      </c>
      <c r="B43" s="206" t="s">
        <v>1948</v>
      </c>
      <c r="C43" s="211" t="s">
        <v>1949</v>
      </c>
      <c r="D43" s="230">
        <v>35.28</v>
      </c>
    </row>
    <row r="44" spans="1:4" s="193" customFormat="1" ht="13.5" x14ac:dyDescent="0.25">
      <c r="A44" s="205"/>
      <c r="B44" s="205"/>
      <c r="C44" s="204" t="s">
        <v>1950</v>
      </c>
      <c r="D44" s="236"/>
    </row>
    <row r="45" spans="1:4" s="193" customFormat="1" ht="13.5" x14ac:dyDescent="0.25">
      <c r="A45" s="206">
        <v>81931</v>
      </c>
      <c r="B45" s="206" t="s">
        <v>1951</v>
      </c>
      <c r="C45" s="211" t="s">
        <v>1952</v>
      </c>
      <c r="D45" s="230">
        <v>11</v>
      </c>
    </row>
    <row r="46" spans="1:4" s="193" customFormat="1" ht="13.5" x14ac:dyDescent="0.25">
      <c r="A46" s="206">
        <v>81932</v>
      </c>
      <c r="B46" s="206" t="s">
        <v>1953</v>
      </c>
      <c r="C46" s="211" t="s">
        <v>1954</v>
      </c>
      <c r="D46" s="230">
        <v>11</v>
      </c>
    </row>
    <row r="47" spans="1:4" s="193" customFormat="1" ht="13.5" x14ac:dyDescent="0.25">
      <c r="A47" s="206">
        <v>81935</v>
      </c>
      <c r="B47" s="206" t="s">
        <v>1670</v>
      </c>
      <c r="C47" s="211" t="s">
        <v>1955</v>
      </c>
      <c r="D47" s="230">
        <v>15</v>
      </c>
    </row>
    <row r="48" spans="1:4" s="193" customFormat="1" ht="13.5" x14ac:dyDescent="0.25">
      <c r="A48" s="206">
        <v>81933</v>
      </c>
      <c r="B48" s="206" t="s">
        <v>1956</v>
      </c>
      <c r="C48" s="211" t="s">
        <v>1957</v>
      </c>
      <c r="D48" s="230">
        <v>5.18</v>
      </c>
    </row>
    <row r="49" spans="1:4" s="193" customFormat="1" ht="13.5" x14ac:dyDescent="0.25">
      <c r="A49" s="206">
        <v>81976</v>
      </c>
      <c r="B49" s="206" t="s">
        <v>1568</v>
      </c>
      <c r="C49" s="211" t="s">
        <v>1958</v>
      </c>
      <c r="D49" s="230">
        <v>15</v>
      </c>
    </row>
    <row r="50" spans="1:4" s="193" customFormat="1" ht="13.5" x14ac:dyDescent="0.25">
      <c r="A50" s="205"/>
      <c r="B50" s="205"/>
      <c r="C50" s="204" t="s">
        <v>1959</v>
      </c>
      <c r="D50" s="236"/>
    </row>
    <row r="51" spans="1:4" s="193" customFormat="1" ht="13.5" x14ac:dyDescent="0.25">
      <c r="A51" s="205"/>
      <c r="B51" s="205"/>
      <c r="C51" s="211" t="s">
        <v>1960</v>
      </c>
      <c r="D51" s="236"/>
    </row>
    <row r="52" spans="1:4" s="193" customFormat="1" ht="13.5" x14ac:dyDescent="0.25">
      <c r="A52" s="205"/>
      <c r="B52" s="205"/>
      <c r="C52" s="211" t="s">
        <v>1961</v>
      </c>
      <c r="D52" s="236"/>
    </row>
    <row r="53" spans="1:4" s="193" customFormat="1" ht="13.5" x14ac:dyDescent="0.25">
      <c r="A53" s="205"/>
      <c r="B53" s="205"/>
      <c r="C53" s="211" t="s">
        <v>1962</v>
      </c>
      <c r="D53" s="236"/>
    </row>
    <row r="54" spans="1:4" s="193" customFormat="1" ht="13.5" x14ac:dyDescent="0.25">
      <c r="A54" s="205"/>
      <c r="B54" s="205"/>
      <c r="C54" s="204" t="s">
        <v>1963</v>
      </c>
      <c r="D54" s="236"/>
    </row>
    <row r="55" spans="1:4" s="193" customFormat="1" ht="40.5" x14ac:dyDescent="0.25">
      <c r="A55" s="205"/>
      <c r="B55" s="205"/>
      <c r="C55" s="211" t="s">
        <v>1850</v>
      </c>
      <c r="D55" s="236"/>
    </row>
    <row r="56" spans="1:4" s="193" customFormat="1" ht="40.5" x14ac:dyDescent="0.25">
      <c r="A56" s="205"/>
      <c r="B56" s="205"/>
      <c r="C56" s="211" t="s">
        <v>1964</v>
      </c>
      <c r="D56" s="236"/>
    </row>
    <row r="57" spans="1:4" s="193" customFormat="1" ht="40.5" x14ac:dyDescent="0.25">
      <c r="A57" s="205"/>
      <c r="B57" s="205"/>
      <c r="C57" s="211" t="s">
        <v>1965</v>
      </c>
      <c r="D57" s="236"/>
    </row>
    <row r="58" spans="1:4" s="193" customFormat="1" ht="13.5" x14ac:dyDescent="0.25">
      <c r="A58" s="205"/>
      <c r="B58" s="205"/>
      <c r="C58" s="204" t="s">
        <v>1966</v>
      </c>
      <c r="D58" s="236"/>
    </row>
    <row r="59" spans="1:4" s="193" customFormat="1" ht="13.5" x14ac:dyDescent="0.25">
      <c r="A59" s="205"/>
      <c r="B59" s="205"/>
      <c r="C59" s="204" t="s">
        <v>1967</v>
      </c>
      <c r="D59" s="236"/>
    </row>
    <row r="60" spans="1:4" s="193" customFormat="1" ht="13.5" x14ac:dyDescent="0.25">
      <c r="A60" s="205"/>
      <c r="B60" s="205"/>
      <c r="C60" s="204" t="s">
        <v>1968</v>
      </c>
      <c r="D60" s="236"/>
    </row>
    <row r="61" spans="1:4" s="193" customFormat="1" ht="27" x14ac:dyDescent="0.25">
      <c r="A61" s="206">
        <v>95005</v>
      </c>
      <c r="B61" s="206" t="s">
        <v>1969</v>
      </c>
      <c r="C61" s="211" t="s">
        <v>1970</v>
      </c>
      <c r="D61" s="230">
        <v>6.22</v>
      </c>
    </row>
    <row r="62" spans="1:4" s="193" customFormat="1" ht="27" x14ac:dyDescent="0.25">
      <c r="A62" s="206">
        <v>95010</v>
      </c>
      <c r="B62" s="206" t="s">
        <v>1971</v>
      </c>
      <c r="C62" s="211" t="s">
        <v>1972</v>
      </c>
      <c r="D62" s="230">
        <v>6.22</v>
      </c>
    </row>
    <row r="63" spans="1:4" s="193" customFormat="1" ht="27" x14ac:dyDescent="0.25">
      <c r="A63" s="206">
        <v>95015</v>
      </c>
      <c r="B63" s="206" t="s">
        <v>1973</v>
      </c>
      <c r="C63" s="211" t="s">
        <v>1974</v>
      </c>
      <c r="D63" s="230">
        <v>6.22</v>
      </c>
    </row>
    <row r="64" spans="1:4" s="193" customFormat="1" ht="13.5" x14ac:dyDescent="0.25">
      <c r="A64" s="206">
        <v>95020</v>
      </c>
      <c r="B64" s="206" t="s">
        <v>812</v>
      </c>
      <c r="C64" s="211" t="s">
        <v>1975</v>
      </c>
      <c r="D64" s="230">
        <v>6.22</v>
      </c>
    </row>
    <row r="65" spans="1:4" s="193" customFormat="1" ht="27" x14ac:dyDescent="0.25">
      <c r="A65" s="206">
        <v>95025</v>
      </c>
      <c r="B65" s="206" t="s">
        <v>808</v>
      </c>
      <c r="C65" s="211" t="s">
        <v>1976</v>
      </c>
      <c r="D65" s="230">
        <v>6.22</v>
      </c>
    </row>
    <row r="66" spans="1:4" s="193" customFormat="1" ht="27" x14ac:dyDescent="0.25">
      <c r="A66" s="206">
        <v>95030</v>
      </c>
      <c r="B66" s="206" t="s">
        <v>798</v>
      </c>
      <c r="C66" s="211" t="s">
        <v>1977</v>
      </c>
      <c r="D66" s="230">
        <v>6.22</v>
      </c>
    </row>
    <row r="67" spans="1:4" s="193" customFormat="1" ht="13.5" x14ac:dyDescent="0.25">
      <c r="A67" s="205"/>
      <c r="B67" s="205"/>
      <c r="C67" s="204" t="s">
        <v>1978</v>
      </c>
      <c r="D67" s="236"/>
    </row>
    <row r="68" spans="1:4" s="193" customFormat="1" ht="13.5" x14ac:dyDescent="0.25">
      <c r="A68" s="206">
        <v>95035</v>
      </c>
      <c r="B68" s="206" t="s">
        <v>1979</v>
      </c>
      <c r="C68" s="211" t="s">
        <v>1980</v>
      </c>
      <c r="D68" s="230">
        <v>4.1399999999999997</v>
      </c>
    </row>
    <row r="69" spans="1:4" s="193" customFormat="1" ht="27" x14ac:dyDescent="0.25">
      <c r="A69" s="206">
        <v>95040</v>
      </c>
      <c r="B69" s="206" t="s">
        <v>1981</v>
      </c>
      <c r="C69" s="211" t="s">
        <v>1982</v>
      </c>
      <c r="D69" s="230">
        <v>4.1399999999999997</v>
      </c>
    </row>
    <row r="70" spans="1:4" s="193" customFormat="1" ht="27" x14ac:dyDescent="0.25">
      <c r="A70" s="206">
        <v>95045</v>
      </c>
      <c r="B70" s="206" t="s">
        <v>1983</v>
      </c>
      <c r="C70" s="211" t="s">
        <v>1984</v>
      </c>
      <c r="D70" s="230">
        <v>4.1399999999999997</v>
      </c>
    </row>
    <row r="71" spans="1:4" s="193" customFormat="1" ht="27" x14ac:dyDescent="0.25">
      <c r="A71" s="206">
        <v>95050</v>
      </c>
      <c r="B71" s="206" t="s">
        <v>806</v>
      </c>
      <c r="C71" s="211" t="s">
        <v>1985</v>
      </c>
      <c r="D71" s="230">
        <v>4.1399999999999997</v>
      </c>
    </row>
    <row r="72" spans="1:4" s="193" customFormat="1" ht="13.5" x14ac:dyDescent="0.25">
      <c r="A72" s="205"/>
      <c r="B72" s="205"/>
      <c r="C72" s="204" t="s">
        <v>1986</v>
      </c>
      <c r="D72" s="236"/>
    </row>
    <row r="73" spans="1:4" s="193" customFormat="1" ht="13.5" x14ac:dyDescent="0.25">
      <c r="A73" s="206">
        <v>95150</v>
      </c>
      <c r="B73" s="206" t="s">
        <v>1987</v>
      </c>
      <c r="C73" s="211" t="s">
        <v>1988</v>
      </c>
      <c r="D73" s="230">
        <v>4</v>
      </c>
    </row>
    <row r="74" spans="1:4" s="193" customFormat="1" ht="13.5" x14ac:dyDescent="0.25">
      <c r="A74" s="205"/>
      <c r="B74" s="205"/>
      <c r="C74" s="204" t="s">
        <v>1989</v>
      </c>
      <c r="D74" s="236"/>
    </row>
    <row r="75" spans="1:4" s="193" customFormat="1" ht="13.5" x14ac:dyDescent="0.25">
      <c r="A75" s="205"/>
      <c r="B75" s="205"/>
      <c r="C75" s="211" t="s">
        <v>1990</v>
      </c>
      <c r="D75" s="236"/>
    </row>
    <row r="76" spans="1:4" s="193" customFormat="1" ht="27" x14ac:dyDescent="0.25">
      <c r="A76" s="205"/>
      <c r="B76" s="205"/>
      <c r="C76" s="211" t="s">
        <v>1699</v>
      </c>
      <c r="D76" s="236"/>
    </row>
    <row r="77" spans="1:4" s="193" customFormat="1" ht="27" x14ac:dyDescent="0.25">
      <c r="A77" s="205"/>
      <c r="B77" s="205"/>
      <c r="C77" s="211" t="s">
        <v>1991</v>
      </c>
      <c r="D77" s="236"/>
    </row>
    <row r="78" spans="1:4" s="193" customFormat="1" ht="27" x14ac:dyDescent="0.25">
      <c r="A78" s="205"/>
      <c r="B78" s="205"/>
      <c r="C78" s="211" t="s">
        <v>1701</v>
      </c>
      <c r="D78" s="236"/>
    </row>
    <row r="79" spans="1:4" s="193" customFormat="1" ht="27" x14ac:dyDescent="0.25">
      <c r="A79" s="205"/>
      <c r="B79" s="205"/>
      <c r="C79" s="211" t="s">
        <v>1702</v>
      </c>
      <c r="D79" s="236"/>
    </row>
    <row r="80" spans="1:4" s="193" customFormat="1" ht="27" x14ac:dyDescent="0.25">
      <c r="A80" s="205"/>
      <c r="B80" s="205"/>
      <c r="C80" s="211" t="s">
        <v>1703</v>
      </c>
      <c r="D80" s="236"/>
    </row>
    <row r="81" spans="1:4" s="193" customFormat="1" ht="27" x14ac:dyDescent="0.25">
      <c r="A81" s="205"/>
      <c r="B81" s="205"/>
      <c r="C81" s="211" t="s">
        <v>1704</v>
      </c>
      <c r="D81" s="236"/>
    </row>
    <row r="82" spans="1:4" s="193" customFormat="1" ht="27" x14ac:dyDescent="0.25">
      <c r="A82" s="205"/>
      <c r="B82" s="205"/>
      <c r="C82" s="211" t="s">
        <v>1992</v>
      </c>
      <c r="D82" s="236"/>
    </row>
    <row r="83" spans="1:4" s="193" customFormat="1" ht="13.5" x14ac:dyDescent="0.25">
      <c r="A83" s="205"/>
      <c r="B83" s="205"/>
      <c r="C83" s="204" t="s">
        <v>131</v>
      </c>
      <c r="D83" s="236"/>
    </row>
    <row r="84" spans="1:4" s="193" customFormat="1" ht="13.5" x14ac:dyDescent="0.25">
      <c r="A84" s="206">
        <v>95500</v>
      </c>
      <c r="B84" s="206" t="s">
        <v>816</v>
      </c>
      <c r="C84" s="211" t="s">
        <v>1993</v>
      </c>
      <c r="D84" s="230">
        <v>2.0699999999999998</v>
      </c>
    </row>
    <row r="85" spans="1:4" s="193" customFormat="1" ht="13.5" x14ac:dyDescent="0.25">
      <c r="A85" s="206">
        <v>95505</v>
      </c>
      <c r="B85" s="206" t="s">
        <v>822</v>
      </c>
      <c r="C85" s="211" t="s">
        <v>1994</v>
      </c>
      <c r="D85" s="230">
        <v>3</v>
      </c>
    </row>
    <row r="86" spans="1:4" s="193" customFormat="1" ht="13.5" x14ac:dyDescent="0.25">
      <c r="A86" s="206">
        <v>95510</v>
      </c>
      <c r="B86" s="206" t="s">
        <v>772</v>
      </c>
      <c r="C86" s="211" t="s">
        <v>1995</v>
      </c>
      <c r="D86" s="230">
        <v>2.5</v>
      </c>
    </row>
    <row r="87" spans="1:4" s="193" customFormat="1" ht="13.5" x14ac:dyDescent="0.25">
      <c r="A87" s="206">
        <v>95515</v>
      </c>
      <c r="B87" s="206" t="s">
        <v>673</v>
      </c>
      <c r="C87" s="211" t="s">
        <v>1996</v>
      </c>
      <c r="D87" s="230">
        <v>4</v>
      </c>
    </row>
    <row r="88" spans="1:4" s="193" customFormat="1" ht="27" x14ac:dyDescent="0.25">
      <c r="A88" s="206">
        <v>95520</v>
      </c>
      <c r="B88" s="206" t="s">
        <v>851</v>
      </c>
      <c r="C88" s="211" t="s">
        <v>1997</v>
      </c>
      <c r="D88" s="230">
        <v>17.5</v>
      </c>
    </row>
    <row r="89" spans="1:4" s="193" customFormat="1" ht="13.5" x14ac:dyDescent="0.25">
      <c r="A89" s="206">
        <v>95525</v>
      </c>
      <c r="B89" s="206" t="s">
        <v>849</v>
      </c>
      <c r="C89" s="211" t="s">
        <v>1998</v>
      </c>
      <c r="D89" s="230">
        <v>4</v>
      </c>
    </row>
    <row r="90" spans="1:4" s="193" customFormat="1" ht="13.5" x14ac:dyDescent="0.25">
      <c r="A90" s="205"/>
      <c r="B90" s="205"/>
      <c r="C90" s="204" t="s">
        <v>1999</v>
      </c>
      <c r="D90" s="205"/>
    </row>
    <row r="91" spans="1:4" s="193" customFormat="1" ht="13.5" x14ac:dyDescent="0.25">
      <c r="A91" s="205"/>
      <c r="B91" s="205"/>
      <c r="C91" s="211" t="s">
        <v>1921</v>
      </c>
      <c r="D91" s="205"/>
    </row>
    <row r="92" spans="1:4" s="193" customFormat="1" ht="13.5" x14ac:dyDescent="0.25">
      <c r="A92" s="238"/>
      <c r="B92" s="238"/>
      <c r="C92" s="212" t="s">
        <v>1922</v>
      </c>
      <c r="D92" s="239"/>
    </row>
    <row r="93" spans="1:4" s="193" customFormat="1" ht="13.5" x14ac:dyDescent="0.25"/>
    <row r="94" spans="1:4" s="193" customFormat="1" ht="13.5" x14ac:dyDescent="0.25"/>
    <row r="95" spans="1:4" s="193" customFormat="1" ht="13.5" x14ac:dyDescent="0.25"/>
    <row r="96" spans="1:4" s="193" customFormat="1" ht="13.5" x14ac:dyDescent="0.25"/>
    <row r="97" s="193" customFormat="1" ht="13.5" x14ac:dyDescent="0.25"/>
    <row r="98" s="193" customFormat="1" ht="13.5" x14ac:dyDescent="0.25"/>
    <row r="99" s="193" customFormat="1" ht="13.5" x14ac:dyDescent="0.25"/>
    <row r="100" s="193" customFormat="1" ht="13.5" x14ac:dyDescent="0.25"/>
    <row r="101" s="193" customFormat="1" ht="13.5" x14ac:dyDescent="0.25"/>
    <row r="102" s="193" customFormat="1" ht="13.5" x14ac:dyDescent="0.25"/>
    <row r="103" s="193" customFormat="1" ht="13.5" x14ac:dyDescent="0.25"/>
    <row r="104" s="193" customFormat="1" ht="13.5" x14ac:dyDescent="0.25"/>
    <row r="105" s="193" customFormat="1" ht="13.5" x14ac:dyDescent="0.25"/>
    <row r="106" s="193" customFormat="1" ht="13.5" x14ac:dyDescent="0.25"/>
    <row r="107" s="193" customFormat="1" ht="13.5" x14ac:dyDescent="0.25"/>
    <row r="108" s="193" customFormat="1" ht="13.5" x14ac:dyDescent="0.25"/>
    <row r="109" s="193" customFormat="1" ht="13.5" x14ac:dyDescent="0.25"/>
    <row r="110" s="193" customFormat="1" ht="13.5" x14ac:dyDescent="0.25"/>
    <row r="111" s="193" customFormat="1" ht="13.5" x14ac:dyDescent="0.25"/>
    <row r="112" s="193" customFormat="1" ht="13.5" x14ac:dyDescent="0.25"/>
    <row r="113" s="193" customFormat="1" ht="13.5" x14ac:dyDescent="0.25"/>
    <row r="114" s="193" customFormat="1" ht="13.5" x14ac:dyDescent="0.25"/>
    <row r="115" s="193" customFormat="1" ht="13.5" x14ac:dyDescent="0.25"/>
    <row r="116" s="193" customFormat="1" ht="13.5" x14ac:dyDescent="0.25"/>
    <row r="117" s="193" customFormat="1" ht="13.5" x14ac:dyDescent="0.25"/>
    <row r="118" s="193" customFormat="1" ht="13.5" x14ac:dyDescent="0.25"/>
    <row r="119" s="193" customFormat="1" ht="13.5" x14ac:dyDescent="0.25"/>
    <row r="120" s="193" customFormat="1" ht="13.5" x14ac:dyDescent="0.25"/>
    <row r="121" s="193" customFormat="1" ht="13.5" x14ac:dyDescent="0.25"/>
    <row r="122" s="193" customFormat="1" ht="13.5" x14ac:dyDescent="0.25"/>
    <row r="123" s="193" customFormat="1" ht="13.5" x14ac:dyDescent="0.25"/>
    <row r="124" s="193" customFormat="1" ht="13.5" x14ac:dyDescent="0.25"/>
    <row r="125" s="193" customFormat="1" ht="13.5" x14ac:dyDescent="0.25"/>
    <row r="126" s="193" customFormat="1" ht="13.5" x14ac:dyDescent="0.25"/>
    <row r="127" s="193" customFormat="1" ht="13.5" x14ac:dyDescent="0.25"/>
    <row r="128" s="193" customFormat="1" ht="13.5" x14ac:dyDescent="0.25"/>
    <row r="129" s="193" customFormat="1" ht="13.5" x14ac:dyDescent="0.25"/>
    <row r="130" s="193" customFormat="1" ht="13.5" x14ac:dyDescent="0.25"/>
    <row r="131" s="193" customFormat="1" ht="13.5" x14ac:dyDescent="0.25"/>
    <row r="132" s="193" customFormat="1" ht="13.5" x14ac:dyDescent="0.25"/>
    <row r="133" s="193" customFormat="1" ht="13.5" x14ac:dyDescent="0.25"/>
    <row r="134" s="193" customFormat="1" ht="13.5" x14ac:dyDescent="0.25"/>
    <row r="135" s="193" customFormat="1" ht="13.5" x14ac:dyDescent="0.25"/>
    <row r="136" s="193" customFormat="1" ht="13.5" x14ac:dyDescent="0.25"/>
    <row r="137" s="193" customFormat="1" ht="13.5" x14ac:dyDescent="0.25"/>
    <row r="138" s="193" customFormat="1" ht="13.5" x14ac:dyDescent="0.25"/>
    <row r="139" s="193" customFormat="1" ht="13.5" x14ac:dyDescent="0.25"/>
    <row r="140" s="193" customFormat="1" ht="13.5" x14ac:dyDescent="0.25"/>
    <row r="141" s="193" customFormat="1" ht="13.5" x14ac:dyDescent="0.25"/>
    <row r="142" s="193" customFormat="1" ht="13.5" x14ac:dyDescent="0.25"/>
    <row r="143" s="193" customFormat="1" ht="13.5" x14ac:dyDescent="0.25"/>
    <row r="144" s="193" customFormat="1" ht="13.5" x14ac:dyDescent="0.25"/>
    <row r="145" s="193" customFormat="1" ht="13.5" x14ac:dyDescent="0.25"/>
    <row r="146" s="193" customFormat="1" ht="13.5" x14ac:dyDescent="0.25"/>
    <row r="147" s="193" customFormat="1" ht="13.5" x14ac:dyDescent="0.25"/>
    <row r="148" s="193" customFormat="1" ht="13.5" x14ac:dyDescent="0.25"/>
    <row r="149" s="193" customFormat="1" ht="13.5" x14ac:dyDescent="0.25"/>
    <row r="150" s="193" customFormat="1" ht="13.5" x14ac:dyDescent="0.25"/>
    <row r="151" s="193" customFormat="1" ht="13.5" x14ac:dyDescent="0.25"/>
    <row r="152" s="193" customFormat="1" ht="13.5" x14ac:dyDescent="0.25"/>
    <row r="153" s="193" customFormat="1" ht="13.5" x14ac:dyDescent="0.25"/>
    <row r="154" s="193" customFormat="1" ht="13.5" x14ac:dyDescent="0.25"/>
    <row r="155" s="193" customFormat="1" ht="13.5" x14ac:dyDescent="0.25"/>
    <row r="156" s="193" customFormat="1" ht="13.5" x14ac:dyDescent="0.25"/>
    <row r="157" s="193" customFormat="1" ht="13.5" x14ac:dyDescent="0.25"/>
    <row r="158" s="193" customFormat="1" ht="13.5" x14ac:dyDescent="0.25"/>
    <row r="159" s="193" customFormat="1" ht="13.5" x14ac:dyDescent="0.25"/>
    <row r="160" s="193" customFormat="1" ht="13.5" x14ac:dyDescent="0.25"/>
    <row r="161" s="193" customFormat="1" ht="13.5" x14ac:dyDescent="0.25"/>
    <row r="162" s="193" customFormat="1" ht="13.5" x14ac:dyDescent="0.25"/>
    <row r="163" s="193" customFormat="1" ht="13.5" x14ac:dyDescent="0.25"/>
    <row r="164" s="193" customFormat="1" ht="13.5" x14ac:dyDescent="0.25"/>
    <row r="165" s="193" customFormat="1" ht="13.5" x14ac:dyDescent="0.25"/>
    <row r="166" s="193" customFormat="1" ht="13.5" x14ac:dyDescent="0.25"/>
    <row r="167" s="193" customFormat="1" ht="13.5" x14ac:dyDescent="0.25"/>
    <row r="168" s="193" customFormat="1" ht="13.5" x14ac:dyDescent="0.25"/>
    <row r="169" s="193" customFormat="1" ht="13.5" x14ac:dyDescent="0.25"/>
    <row r="170" s="193" customFormat="1" ht="13.5" x14ac:dyDescent="0.25"/>
    <row r="171" s="193" customFormat="1" ht="13.5" x14ac:dyDescent="0.25"/>
    <row r="172" s="193" customFormat="1" ht="13.5" x14ac:dyDescent="0.25"/>
    <row r="173" s="193" customFormat="1" ht="13.5" x14ac:dyDescent="0.25"/>
    <row r="174" s="193" customFormat="1" ht="13.5" x14ac:dyDescent="0.25"/>
    <row r="175" s="193" customFormat="1" ht="13.5" x14ac:dyDescent="0.25"/>
    <row r="176" s="193" customFormat="1" ht="13.5" x14ac:dyDescent="0.25"/>
    <row r="177" s="193" customFormat="1" ht="13.5" x14ac:dyDescent="0.25"/>
    <row r="178" s="193" customFormat="1" ht="13.5" x14ac:dyDescent="0.25"/>
    <row r="179" s="193" customFormat="1" ht="13.5" x14ac:dyDescent="0.25"/>
    <row r="180" s="193" customFormat="1" ht="13.5" x14ac:dyDescent="0.25"/>
    <row r="181" s="193" customFormat="1" ht="13.5" x14ac:dyDescent="0.25"/>
    <row r="182" s="193" customFormat="1" ht="13.5" x14ac:dyDescent="0.25"/>
    <row r="183" s="193" customFormat="1" ht="13.5" x14ac:dyDescent="0.25"/>
    <row r="184" s="193" customFormat="1" ht="13.5" x14ac:dyDescent="0.25"/>
    <row r="185" s="193" customFormat="1" ht="13.5" x14ac:dyDescent="0.25"/>
    <row r="186" s="193" customFormat="1" ht="13.5" x14ac:dyDescent="0.25"/>
    <row r="187" s="193" customFormat="1" ht="13.5" x14ac:dyDescent="0.25"/>
    <row r="188" s="193" customFormat="1" ht="13.5" x14ac:dyDescent="0.25"/>
    <row r="189" s="193" customFormat="1" ht="13.5" x14ac:dyDescent="0.25"/>
    <row r="190" s="193" customFormat="1" ht="13.5" x14ac:dyDescent="0.25"/>
    <row r="191" s="193" customFormat="1" ht="13.5" x14ac:dyDescent="0.25"/>
    <row r="192" s="193" customFormat="1" ht="13.5" x14ac:dyDescent="0.25"/>
    <row r="193" s="193" customFormat="1" ht="13.5" x14ac:dyDescent="0.25"/>
    <row r="194" s="193" customFormat="1" ht="13.5" x14ac:dyDescent="0.25"/>
    <row r="195" s="193" customFormat="1" ht="13.5" x14ac:dyDescent="0.25"/>
    <row r="196" s="193" customFormat="1" ht="13.5" x14ac:dyDescent="0.25"/>
    <row r="197" s="193" customFormat="1" ht="13.5" x14ac:dyDescent="0.25"/>
    <row r="198" s="193" customFormat="1" ht="13.5" x14ac:dyDescent="0.25"/>
    <row r="199" s="193" customFormat="1" ht="13.5" x14ac:dyDescent="0.25"/>
    <row r="200" s="193" customFormat="1" ht="13.5" x14ac:dyDescent="0.25"/>
    <row r="201" s="193" customFormat="1" ht="13.5" x14ac:dyDescent="0.25"/>
    <row r="202" s="193" customFormat="1" ht="13.5" x14ac:dyDescent="0.25"/>
    <row r="203" s="193" customFormat="1" ht="13.5" x14ac:dyDescent="0.25"/>
    <row r="204" s="193" customFormat="1" ht="13.5" x14ac:dyDescent="0.25"/>
    <row r="205" s="193" customFormat="1" ht="13.5" x14ac:dyDescent="0.25"/>
    <row r="206" s="193" customFormat="1" ht="13.5" x14ac:dyDescent="0.25"/>
    <row r="207" s="193" customFormat="1" ht="13.5" x14ac:dyDescent="0.25"/>
    <row r="208" s="193" customFormat="1" ht="13.5" x14ac:dyDescent="0.25"/>
    <row r="209" s="193" customFormat="1" ht="13.5" x14ac:dyDescent="0.25"/>
    <row r="210" s="193" customFormat="1" ht="13.5" x14ac:dyDescent="0.25"/>
    <row r="211" s="193" customFormat="1" ht="13.5" x14ac:dyDescent="0.25"/>
    <row r="212" s="193" customFormat="1" ht="13.5" x14ac:dyDescent="0.25"/>
    <row r="213" s="193" customFormat="1" ht="13.5" x14ac:dyDescent="0.25"/>
    <row r="214" s="193" customFormat="1" ht="13.5" x14ac:dyDescent="0.25"/>
    <row r="215" s="193" customFormat="1" ht="13.5" x14ac:dyDescent="0.25"/>
    <row r="216" s="193" customFormat="1" ht="13.5" x14ac:dyDescent="0.25"/>
    <row r="217" s="193" customFormat="1" ht="13.5" x14ac:dyDescent="0.25"/>
    <row r="218" s="193" customFormat="1" ht="13.5" x14ac:dyDescent="0.25"/>
    <row r="219" s="193" customFormat="1" ht="13.5" x14ac:dyDescent="0.25"/>
    <row r="220" s="193" customFormat="1" ht="13.5" x14ac:dyDescent="0.25"/>
    <row r="221" s="193" customFormat="1" ht="13.5" x14ac:dyDescent="0.25"/>
    <row r="222" s="193" customFormat="1" ht="13.5" x14ac:dyDescent="0.25"/>
    <row r="223" s="193" customFormat="1" ht="13.5" x14ac:dyDescent="0.25"/>
    <row r="224" s="193" customFormat="1" ht="13.5" x14ac:dyDescent="0.25"/>
    <row r="225" s="193" customFormat="1" ht="13.5" x14ac:dyDescent="0.25"/>
    <row r="226" s="193" customFormat="1" ht="13.5" x14ac:dyDescent="0.25"/>
    <row r="227" s="193" customFormat="1" ht="13.5" x14ac:dyDescent="0.25"/>
    <row r="228" s="193" customFormat="1" ht="13.5" x14ac:dyDescent="0.25"/>
    <row r="229" s="193" customFormat="1" ht="13.5" x14ac:dyDescent="0.25"/>
    <row r="230" s="193" customFormat="1" ht="13.5" x14ac:dyDescent="0.25"/>
    <row r="231" s="193" customFormat="1" ht="13.5" x14ac:dyDescent="0.25"/>
    <row r="232" s="193" customFormat="1" ht="13.5" x14ac:dyDescent="0.25"/>
    <row r="233" s="193" customFormat="1" ht="13.5" x14ac:dyDescent="0.25"/>
    <row r="234" s="193" customFormat="1" ht="13.5" x14ac:dyDescent="0.25"/>
    <row r="235" s="193" customFormat="1" ht="13.5" x14ac:dyDescent="0.25"/>
    <row r="236" s="193" customFormat="1" ht="13.5" x14ac:dyDescent="0.25"/>
    <row r="237" s="193" customFormat="1" ht="13.5" x14ac:dyDescent="0.25"/>
    <row r="238" s="193" customFormat="1" ht="13.5" x14ac:dyDescent="0.25"/>
    <row r="239" s="193" customFormat="1" ht="13.5" x14ac:dyDescent="0.25"/>
    <row r="240" s="193" customFormat="1" ht="13.5" x14ac:dyDescent="0.25"/>
    <row r="241" s="193" customFormat="1" ht="13.5" x14ac:dyDescent="0.25"/>
    <row r="242" s="193" customFormat="1" ht="13.5" x14ac:dyDescent="0.25"/>
    <row r="243" s="193" customFormat="1" ht="13.5" x14ac:dyDescent="0.25"/>
    <row r="244" s="193" customFormat="1" ht="13.5" x14ac:dyDescent="0.25"/>
    <row r="245" s="193" customFormat="1" ht="13.5" x14ac:dyDescent="0.25"/>
    <row r="246" s="193" customFormat="1" ht="13.5" x14ac:dyDescent="0.25"/>
    <row r="247" s="193" customFormat="1" ht="13.5" x14ac:dyDescent="0.25"/>
    <row r="248" s="193" customFormat="1" ht="13.5" x14ac:dyDescent="0.25"/>
    <row r="249" s="193" customFormat="1" ht="13.5" x14ac:dyDescent="0.25"/>
    <row r="250" s="193" customFormat="1" ht="13.5" x14ac:dyDescent="0.25"/>
    <row r="251" s="193" customFormat="1" ht="13.5" x14ac:dyDescent="0.25"/>
    <row r="252" s="193" customFormat="1" ht="13.5" x14ac:dyDescent="0.25"/>
    <row r="253" s="193" customFormat="1" ht="13.5" x14ac:dyDescent="0.25"/>
    <row r="254" s="193" customFormat="1" ht="13.5" x14ac:dyDescent="0.25"/>
    <row r="255" s="193" customFormat="1" ht="13.5" x14ac:dyDescent="0.25"/>
    <row r="256" s="193" customFormat="1" ht="13.5" x14ac:dyDescent="0.25"/>
    <row r="257" s="193" customFormat="1" ht="13.5" x14ac:dyDescent="0.25"/>
    <row r="258" s="193" customFormat="1" ht="13.5" x14ac:dyDescent="0.25"/>
    <row r="259" s="193" customFormat="1" ht="13.5" x14ac:dyDescent="0.25"/>
    <row r="260" s="193" customFormat="1" ht="13.5" x14ac:dyDescent="0.25"/>
    <row r="261" s="193" customFormat="1" ht="13.5" x14ac:dyDescent="0.25"/>
    <row r="262" s="193" customFormat="1" ht="13.5" x14ac:dyDescent="0.25"/>
    <row r="263" s="193" customFormat="1" ht="13.5" x14ac:dyDescent="0.25"/>
    <row r="264" s="193" customFormat="1" ht="13.5" x14ac:dyDescent="0.25"/>
    <row r="265" s="193" customFormat="1" ht="13.5" x14ac:dyDescent="0.25"/>
    <row r="266" s="193" customFormat="1" ht="13.5" x14ac:dyDescent="0.25"/>
    <row r="267" s="193" customFormat="1" ht="13.5" x14ac:dyDescent="0.25"/>
    <row r="268" s="193" customFormat="1" ht="13.5" x14ac:dyDescent="0.25"/>
    <row r="269" s="193" customFormat="1" ht="13.5" x14ac:dyDescent="0.25"/>
    <row r="270" s="193" customFormat="1" ht="13.5" x14ac:dyDescent="0.25"/>
    <row r="271" s="193" customFormat="1" ht="13.5" x14ac:dyDescent="0.25"/>
    <row r="272" s="193" customFormat="1" ht="13.5" x14ac:dyDescent="0.25"/>
    <row r="273" s="193" customFormat="1" ht="13.5" x14ac:dyDescent="0.25"/>
    <row r="274" s="193" customFormat="1" ht="13.5" x14ac:dyDescent="0.25"/>
    <row r="275" s="193" customFormat="1" ht="13.5" x14ac:dyDescent="0.25"/>
    <row r="276" s="193" customFormat="1" ht="13.5" x14ac:dyDescent="0.25"/>
    <row r="277" s="193" customFormat="1" ht="13.5" x14ac:dyDescent="0.25"/>
    <row r="278" s="193" customFormat="1" ht="13.5" x14ac:dyDescent="0.25"/>
    <row r="279" s="193" customFormat="1" ht="13.5" x14ac:dyDescent="0.25"/>
    <row r="280" s="193" customFormat="1" ht="13.5" x14ac:dyDescent="0.25"/>
    <row r="281" s="193" customFormat="1" ht="13.5" x14ac:dyDescent="0.25"/>
    <row r="282" s="193" customFormat="1" ht="13.5" x14ac:dyDescent="0.25"/>
    <row r="283" s="193" customFormat="1" ht="13.5" x14ac:dyDescent="0.25"/>
    <row r="284" s="193" customFormat="1" ht="13.5" x14ac:dyDescent="0.25"/>
    <row r="285" s="193" customFormat="1" ht="13.5" x14ac:dyDescent="0.25"/>
    <row r="286" s="193" customFormat="1" ht="13.5" x14ac:dyDescent="0.25"/>
    <row r="287" s="193" customFormat="1" ht="13.5" x14ac:dyDescent="0.25"/>
    <row r="288" s="193" customFormat="1" ht="13.5" x14ac:dyDescent="0.25"/>
    <row r="289" s="193" customFormat="1" ht="13.5" x14ac:dyDescent="0.25"/>
    <row r="290" s="193" customFormat="1" ht="13.5" x14ac:dyDescent="0.25"/>
    <row r="291" s="193" customFormat="1" ht="13.5" x14ac:dyDescent="0.25"/>
    <row r="292" s="193" customFormat="1" ht="13.5" x14ac:dyDescent="0.25"/>
    <row r="293" s="193" customFormat="1" ht="13.5" x14ac:dyDescent="0.25"/>
    <row r="294" s="193" customFormat="1" ht="13.5" x14ac:dyDescent="0.25"/>
    <row r="295" s="193" customFormat="1" ht="13.5" x14ac:dyDescent="0.25"/>
    <row r="296" s="193" customFormat="1" ht="13.5" x14ac:dyDescent="0.25"/>
    <row r="297" s="193" customFormat="1" ht="13.5" x14ac:dyDescent="0.25"/>
    <row r="298" s="193" customFormat="1" ht="13.5" x14ac:dyDescent="0.25"/>
    <row r="299" s="193" customFormat="1" ht="13.5" x14ac:dyDescent="0.25"/>
    <row r="300" s="193" customFormat="1" ht="13.5" x14ac:dyDescent="0.25"/>
    <row r="301" s="193" customFormat="1" ht="13.5" x14ac:dyDescent="0.25"/>
    <row r="302" s="193" customFormat="1" ht="13.5" x14ac:dyDescent="0.25"/>
    <row r="303" s="193" customFormat="1" ht="13.5" x14ac:dyDescent="0.25"/>
    <row r="304" s="193" customFormat="1" ht="13.5" x14ac:dyDescent="0.25"/>
    <row r="305" s="193" customFormat="1" ht="13.5" x14ac:dyDescent="0.25"/>
    <row r="306" s="193" customFormat="1" ht="13.5" x14ac:dyDescent="0.25"/>
    <row r="307" s="193" customFormat="1" ht="13.5" x14ac:dyDescent="0.25"/>
    <row r="308" s="193" customFormat="1" ht="13.5" x14ac:dyDescent="0.25"/>
    <row r="309" s="193" customFormat="1" ht="13.5" x14ac:dyDescent="0.25"/>
    <row r="310" s="193" customFormat="1" ht="13.5" x14ac:dyDescent="0.25"/>
    <row r="311" s="193" customFormat="1" ht="13.5" x14ac:dyDescent="0.25"/>
    <row r="312" s="193" customFormat="1" ht="13.5" x14ac:dyDescent="0.25"/>
    <row r="313" s="193" customFormat="1" ht="13.5" x14ac:dyDescent="0.25"/>
    <row r="314" s="193" customFormat="1" ht="13.5" x14ac:dyDescent="0.25"/>
    <row r="315" s="193" customFormat="1" ht="13.5" x14ac:dyDescent="0.25"/>
    <row r="316" s="193" customFormat="1" ht="13.5" x14ac:dyDescent="0.25"/>
    <row r="317" s="193" customFormat="1" ht="13.5" x14ac:dyDescent="0.25"/>
    <row r="318" s="193" customFormat="1" ht="13.5" x14ac:dyDescent="0.25"/>
    <row r="319" s="193" customFormat="1" ht="13.5" x14ac:dyDescent="0.25"/>
  </sheetData>
  <mergeCells count="4">
    <mergeCell ref="A3:B3"/>
    <mergeCell ref="C3:C4"/>
    <mergeCell ref="D3:D4"/>
    <mergeCell ref="A1:D1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CAF1A-B33A-444B-B005-EFD8B7FEA3BE}">
  <dimension ref="A1:D319"/>
  <sheetViews>
    <sheetView showGridLines="0" showRowColHeaders="0" workbookViewId="0">
      <selection activeCell="C20" sqref="C20"/>
    </sheetView>
  </sheetViews>
  <sheetFormatPr defaultColWidth="8.7109375" defaultRowHeight="12.75" x14ac:dyDescent="0.2"/>
  <cols>
    <col min="1" max="2" width="6.42578125" style="191" customWidth="1"/>
    <col min="3" max="3" width="55.42578125" style="191" customWidth="1"/>
    <col min="4" max="4" width="7.28515625" style="191" customWidth="1"/>
    <col min="5" max="16384" width="8.7109375" style="191"/>
  </cols>
  <sheetData>
    <row r="1" spans="1:4" ht="38.1" customHeight="1" x14ac:dyDescent="0.2">
      <c r="A1" s="489" t="s">
        <v>2000</v>
      </c>
      <c r="B1" s="489"/>
      <c r="C1" s="489"/>
      <c r="D1" s="489"/>
    </row>
    <row r="2" spans="1:4" s="193" customFormat="1" ht="13.5" x14ac:dyDescent="0.25"/>
    <row r="3" spans="1:4" s="193" customFormat="1" ht="13.5" x14ac:dyDescent="0.25">
      <c r="A3" s="486" t="s">
        <v>363</v>
      </c>
      <c r="B3" s="486"/>
      <c r="C3" s="486" t="s">
        <v>1448</v>
      </c>
      <c r="D3" s="486" t="s">
        <v>1449</v>
      </c>
    </row>
    <row r="4" spans="1:4" s="193" customFormat="1" ht="13.5" x14ac:dyDescent="0.25">
      <c r="A4" s="222" t="s">
        <v>367</v>
      </c>
      <c r="B4" s="222" t="s">
        <v>368</v>
      </c>
      <c r="C4" s="486"/>
      <c r="D4" s="486"/>
    </row>
    <row r="5" spans="1:4" s="193" customFormat="1" ht="13.5" x14ac:dyDescent="0.25">
      <c r="A5" s="205"/>
      <c r="B5" s="205"/>
      <c r="C5" s="204" t="s">
        <v>2001</v>
      </c>
      <c r="D5" s="205"/>
    </row>
    <row r="6" spans="1:4" s="193" customFormat="1" ht="27" x14ac:dyDescent="0.25">
      <c r="A6" s="206">
        <v>63285</v>
      </c>
      <c r="B6" s="206" t="s">
        <v>1582</v>
      </c>
      <c r="C6" s="211" t="s">
        <v>2002</v>
      </c>
      <c r="D6" s="230">
        <v>62.1</v>
      </c>
    </row>
    <row r="7" spans="1:4" s="193" customFormat="1" ht="13.5" x14ac:dyDescent="0.25">
      <c r="A7" s="206">
        <v>63305</v>
      </c>
      <c r="B7" s="206" t="s">
        <v>2003</v>
      </c>
      <c r="C7" s="211" t="s">
        <v>2004</v>
      </c>
      <c r="D7" s="230">
        <v>56.45</v>
      </c>
    </row>
    <row r="8" spans="1:4" s="193" customFormat="1" ht="13.5" x14ac:dyDescent="0.25">
      <c r="A8" s="206">
        <v>63307</v>
      </c>
      <c r="B8" s="206" t="s">
        <v>933</v>
      </c>
      <c r="C8" s="211" t="s">
        <v>2005</v>
      </c>
      <c r="D8" s="230">
        <v>62.1</v>
      </c>
    </row>
    <row r="9" spans="1:4" s="193" customFormat="1" ht="13.5" x14ac:dyDescent="0.25">
      <c r="A9" s="206">
        <v>63310</v>
      </c>
      <c r="B9" s="206" t="s">
        <v>1933</v>
      </c>
      <c r="C9" s="211" t="s">
        <v>2006</v>
      </c>
      <c r="D9" s="230">
        <v>56.45</v>
      </c>
    </row>
    <row r="10" spans="1:4" s="193" customFormat="1" ht="13.5" x14ac:dyDescent="0.25">
      <c r="A10" s="206">
        <v>63315</v>
      </c>
      <c r="B10" s="206" t="s">
        <v>1731</v>
      </c>
      <c r="C10" s="211" t="s">
        <v>2007</v>
      </c>
      <c r="D10" s="230">
        <v>62.1</v>
      </c>
    </row>
    <row r="11" spans="1:4" s="193" customFormat="1" ht="13.5" x14ac:dyDescent="0.25">
      <c r="A11" s="206">
        <v>63330</v>
      </c>
      <c r="B11" s="206" t="s">
        <v>2008</v>
      </c>
      <c r="C11" s="211" t="s">
        <v>2009</v>
      </c>
      <c r="D11" s="230">
        <v>56.45</v>
      </c>
    </row>
    <row r="12" spans="1:4" s="193" customFormat="1" ht="13.5" x14ac:dyDescent="0.25">
      <c r="A12" s="206">
        <v>63340</v>
      </c>
      <c r="B12" s="206" t="s">
        <v>1575</v>
      </c>
      <c r="C12" s="211" t="s">
        <v>2010</v>
      </c>
      <c r="D12" s="230">
        <v>79.2</v>
      </c>
    </row>
    <row r="13" spans="1:4" s="193" customFormat="1" ht="13.5" x14ac:dyDescent="0.25">
      <c r="A13" s="205"/>
      <c r="B13" s="205"/>
      <c r="C13" s="204" t="s">
        <v>2011</v>
      </c>
      <c r="D13" s="236"/>
    </row>
    <row r="14" spans="1:4" s="193" customFormat="1" ht="27" x14ac:dyDescent="0.25">
      <c r="A14" s="206">
        <v>63401</v>
      </c>
      <c r="B14" s="206" t="s">
        <v>2012</v>
      </c>
      <c r="C14" s="211" t="s">
        <v>2013</v>
      </c>
      <c r="D14" s="230">
        <v>21.27</v>
      </c>
    </row>
    <row r="15" spans="1:4" s="193" customFormat="1" ht="27" x14ac:dyDescent="0.25">
      <c r="A15" s="206">
        <v>63403</v>
      </c>
      <c r="B15" s="206" t="s">
        <v>2014</v>
      </c>
      <c r="C15" s="211" t="s">
        <v>2015</v>
      </c>
      <c r="D15" s="230">
        <v>21.27</v>
      </c>
    </row>
    <row r="16" spans="1:4" s="193" customFormat="1" ht="13.5" x14ac:dyDescent="0.25">
      <c r="A16" s="205"/>
      <c r="B16" s="205"/>
      <c r="C16" s="204" t="s">
        <v>2016</v>
      </c>
      <c r="D16" s="236"/>
    </row>
    <row r="17" spans="1:4" s="193" customFormat="1" ht="13.5" x14ac:dyDescent="0.25">
      <c r="A17" s="208">
        <v>63472</v>
      </c>
      <c r="B17" s="208" t="s">
        <v>1589</v>
      </c>
      <c r="C17" s="212" t="s">
        <v>2017</v>
      </c>
      <c r="D17" s="231">
        <v>8.09</v>
      </c>
    </row>
    <row r="18" spans="1:4" s="193" customFormat="1" ht="13.5" x14ac:dyDescent="0.25"/>
    <row r="19" spans="1:4" s="193" customFormat="1" ht="13.5" x14ac:dyDescent="0.25"/>
    <row r="20" spans="1:4" s="193" customFormat="1" ht="13.5" x14ac:dyDescent="0.25"/>
    <row r="21" spans="1:4" s="193" customFormat="1" ht="13.5" x14ac:dyDescent="0.25"/>
    <row r="22" spans="1:4" s="193" customFormat="1" ht="13.5" x14ac:dyDescent="0.25"/>
    <row r="23" spans="1:4" s="193" customFormat="1" ht="13.5" x14ac:dyDescent="0.25"/>
    <row r="24" spans="1:4" s="193" customFormat="1" ht="13.5" x14ac:dyDescent="0.25"/>
    <row r="25" spans="1:4" s="193" customFormat="1" ht="13.5" x14ac:dyDescent="0.25"/>
    <row r="26" spans="1:4" s="193" customFormat="1" ht="13.5" x14ac:dyDescent="0.25"/>
    <row r="27" spans="1:4" s="193" customFormat="1" ht="13.5" x14ac:dyDescent="0.25"/>
    <row r="28" spans="1:4" s="193" customFormat="1" ht="13.5" x14ac:dyDescent="0.25"/>
    <row r="29" spans="1:4" s="193" customFormat="1" ht="13.5" x14ac:dyDescent="0.25"/>
    <row r="30" spans="1:4" s="193" customFormat="1" ht="13.5" x14ac:dyDescent="0.25"/>
    <row r="31" spans="1:4" s="193" customFormat="1" ht="13.5" x14ac:dyDescent="0.25"/>
    <row r="32" spans="1:4" s="193" customFormat="1" ht="13.5" x14ac:dyDescent="0.25"/>
    <row r="33" s="193" customFormat="1" ht="13.5" x14ac:dyDescent="0.25"/>
    <row r="34" s="193" customFormat="1" ht="13.5" x14ac:dyDescent="0.25"/>
    <row r="35" s="193" customFormat="1" ht="13.5" x14ac:dyDescent="0.25"/>
    <row r="36" s="193" customFormat="1" ht="13.5" x14ac:dyDescent="0.25"/>
    <row r="37" s="193" customFormat="1" ht="13.5" x14ac:dyDescent="0.25"/>
    <row r="38" s="193" customFormat="1" ht="13.5" x14ac:dyDescent="0.25"/>
    <row r="39" s="193" customFormat="1" ht="13.5" x14ac:dyDescent="0.25"/>
    <row r="40" s="193" customFormat="1" ht="13.5" x14ac:dyDescent="0.25"/>
    <row r="41" s="193" customFormat="1" ht="13.5" x14ac:dyDescent="0.25"/>
    <row r="42" s="193" customFormat="1" ht="13.5" x14ac:dyDescent="0.25"/>
    <row r="43" s="193" customFormat="1" ht="13.5" x14ac:dyDescent="0.25"/>
    <row r="44" s="193" customFormat="1" ht="13.5" x14ac:dyDescent="0.25"/>
    <row r="45" s="193" customFormat="1" ht="13.5" x14ac:dyDescent="0.25"/>
    <row r="46" s="193" customFormat="1" ht="13.5" x14ac:dyDescent="0.25"/>
    <row r="47" s="193" customFormat="1" ht="13.5" x14ac:dyDescent="0.25"/>
    <row r="48" s="193" customFormat="1" ht="13.5" x14ac:dyDescent="0.25"/>
    <row r="49" s="193" customFormat="1" ht="13.5" x14ac:dyDescent="0.25"/>
    <row r="50" s="193" customFormat="1" ht="13.5" x14ac:dyDescent="0.25"/>
    <row r="51" s="193" customFormat="1" ht="13.5" x14ac:dyDescent="0.25"/>
    <row r="52" s="193" customFormat="1" ht="13.5" x14ac:dyDescent="0.25"/>
    <row r="53" s="193" customFormat="1" ht="13.5" x14ac:dyDescent="0.25"/>
    <row r="54" s="193" customFormat="1" ht="13.5" x14ac:dyDescent="0.25"/>
    <row r="55" s="193" customFormat="1" ht="13.5" x14ac:dyDescent="0.25"/>
    <row r="56" s="193" customFormat="1" ht="13.5" x14ac:dyDescent="0.25"/>
    <row r="57" s="193" customFormat="1" ht="13.5" x14ac:dyDescent="0.25"/>
    <row r="58" s="193" customFormat="1" ht="13.5" x14ac:dyDescent="0.25"/>
    <row r="59" s="193" customFormat="1" ht="13.5" x14ac:dyDescent="0.25"/>
    <row r="60" s="193" customFormat="1" ht="13.5" x14ac:dyDescent="0.25"/>
    <row r="61" s="193" customFormat="1" ht="13.5" x14ac:dyDescent="0.25"/>
    <row r="62" s="193" customFormat="1" ht="13.5" x14ac:dyDescent="0.25"/>
    <row r="63" s="193" customFormat="1" ht="13.5" x14ac:dyDescent="0.25"/>
    <row r="64" s="193" customFormat="1" ht="13.5" x14ac:dyDescent="0.25"/>
    <row r="65" s="193" customFormat="1" ht="13.5" x14ac:dyDescent="0.25"/>
    <row r="66" s="193" customFormat="1" ht="13.5" x14ac:dyDescent="0.25"/>
    <row r="67" s="193" customFormat="1" ht="13.5" x14ac:dyDescent="0.25"/>
    <row r="68" s="193" customFormat="1" ht="13.5" x14ac:dyDescent="0.25"/>
    <row r="69" s="193" customFormat="1" ht="13.5" x14ac:dyDescent="0.25"/>
    <row r="70" s="193" customFormat="1" ht="13.5" x14ac:dyDescent="0.25"/>
    <row r="71" s="193" customFormat="1" ht="13.5" x14ac:dyDescent="0.25"/>
    <row r="72" s="193" customFormat="1" ht="13.5" x14ac:dyDescent="0.25"/>
    <row r="73" s="193" customFormat="1" ht="13.5" x14ac:dyDescent="0.25"/>
    <row r="74" s="193" customFormat="1" ht="13.5" x14ac:dyDescent="0.25"/>
    <row r="75" s="193" customFormat="1" ht="13.5" x14ac:dyDescent="0.25"/>
    <row r="76" s="193" customFormat="1" ht="13.5" x14ac:dyDescent="0.25"/>
    <row r="77" s="193" customFormat="1" ht="13.5" x14ac:dyDescent="0.25"/>
    <row r="78" s="193" customFormat="1" ht="13.5" x14ac:dyDescent="0.25"/>
    <row r="79" s="193" customFormat="1" ht="13.5" x14ac:dyDescent="0.25"/>
    <row r="80" s="193" customFormat="1" ht="13.5" x14ac:dyDescent="0.25"/>
    <row r="81" s="193" customFormat="1" ht="13.5" x14ac:dyDescent="0.25"/>
    <row r="82" s="193" customFormat="1" ht="13.5" x14ac:dyDescent="0.25"/>
    <row r="83" s="193" customFormat="1" ht="13.5" x14ac:dyDescent="0.25"/>
    <row r="84" s="193" customFormat="1" ht="13.5" x14ac:dyDescent="0.25"/>
    <row r="85" s="193" customFormat="1" ht="13.5" x14ac:dyDescent="0.25"/>
    <row r="86" s="193" customFormat="1" ht="13.5" x14ac:dyDescent="0.25"/>
    <row r="87" s="193" customFormat="1" ht="13.5" x14ac:dyDescent="0.25"/>
    <row r="88" s="193" customFormat="1" ht="13.5" x14ac:dyDescent="0.25"/>
    <row r="89" s="193" customFormat="1" ht="13.5" x14ac:dyDescent="0.25"/>
    <row r="90" s="193" customFormat="1" ht="13.5" x14ac:dyDescent="0.25"/>
    <row r="91" s="193" customFormat="1" ht="13.5" x14ac:dyDescent="0.25"/>
    <row r="92" s="193" customFormat="1" ht="13.5" x14ac:dyDescent="0.25"/>
    <row r="93" s="193" customFormat="1" ht="13.5" x14ac:dyDescent="0.25"/>
    <row r="94" s="193" customFormat="1" ht="13.5" x14ac:dyDescent="0.25"/>
    <row r="95" s="193" customFormat="1" ht="13.5" x14ac:dyDescent="0.25"/>
    <row r="96" s="193" customFormat="1" ht="13.5" x14ac:dyDescent="0.25"/>
    <row r="97" s="193" customFormat="1" ht="13.5" x14ac:dyDescent="0.25"/>
    <row r="98" s="193" customFormat="1" ht="13.5" x14ac:dyDescent="0.25"/>
    <row r="99" s="193" customFormat="1" ht="13.5" x14ac:dyDescent="0.25"/>
    <row r="100" s="193" customFormat="1" ht="13.5" x14ac:dyDescent="0.25"/>
    <row r="101" s="193" customFormat="1" ht="13.5" x14ac:dyDescent="0.25"/>
    <row r="102" s="193" customFormat="1" ht="13.5" x14ac:dyDescent="0.25"/>
    <row r="103" s="193" customFormat="1" ht="13.5" x14ac:dyDescent="0.25"/>
    <row r="104" s="193" customFormat="1" ht="13.5" x14ac:dyDescent="0.25"/>
    <row r="105" s="193" customFormat="1" ht="13.5" x14ac:dyDescent="0.25"/>
    <row r="106" s="193" customFormat="1" ht="13.5" x14ac:dyDescent="0.25"/>
    <row r="107" s="193" customFormat="1" ht="13.5" x14ac:dyDescent="0.25"/>
    <row r="108" s="193" customFormat="1" ht="13.5" x14ac:dyDescent="0.25"/>
    <row r="109" s="193" customFormat="1" ht="13.5" x14ac:dyDescent="0.25"/>
    <row r="110" s="193" customFormat="1" ht="13.5" x14ac:dyDescent="0.25"/>
    <row r="111" s="193" customFormat="1" ht="13.5" x14ac:dyDescent="0.25"/>
    <row r="112" s="193" customFormat="1" ht="13.5" x14ac:dyDescent="0.25"/>
    <row r="113" s="193" customFormat="1" ht="13.5" x14ac:dyDescent="0.25"/>
    <row r="114" s="193" customFormat="1" ht="13.5" x14ac:dyDescent="0.25"/>
    <row r="115" s="193" customFormat="1" ht="13.5" x14ac:dyDescent="0.25"/>
    <row r="116" s="193" customFormat="1" ht="13.5" x14ac:dyDescent="0.25"/>
    <row r="117" s="193" customFormat="1" ht="13.5" x14ac:dyDescent="0.25"/>
    <row r="118" s="193" customFormat="1" ht="13.5" x14ac:dyDescent="0.25"/>
    <row r="119" s="193" customFormat="1" ht="13.5" x14ac:dyDescent="0.25"/>
    <row r="120" s="193" customFormat="1" ht="13.5" x14ac:dyDescent="0.25"/>
    <row r="121" s="193" customFormat="1" ht="13.5" x14ac:dyDescent="0.25"/>
    <row r="122" s="193" customFormat="1" ht="13.5" x14ac:dyDescent="0.25"/>
    <row r="123" s="193" customFormat="1" ht="13.5" x14ac:dyDescent="0.25"/>
    <row r="124" s="193" customFormat="1" ht="13.5" x14ac:dyDescent="0.25"/>
    <row r="125" s="193" customFormat="1" ht="13.5" x14ac:dyDescent="0.25"/>
    <row r="126" s="193" customFormat="1" ht="13.5" x14ac:dyDescent="0.25"/>
    <row r="127" s="193" customFormat="1" ht="13.5" x14ac:dyDescent="0.25"/>
    <row r="128" s="193" customFormat="1" ht="13.5" x14ac:dyDescent="0.25"/>
    <row r="129" s="193" customFormat="1" ht="13.5" x14ac:dyDescent="0.25"/>
    <row r="130" s="193" customFormat="1" ht="13.5" x14ac:dyDescent="0.25"/>
    <row r="131" s="193" customFormat="1" ht="13.5" x14ac:dyDescent="0.25"/>
    <row r="132" s="193" customFormat="1" ht="13.5" x14ac:dyDescent="0.25"/>
    <row r="133" s="193" customFormat="1" ht="13.5" x14ac:dyDescent="0.25"/>
    <row r="134" s="193" customFormat="1" ht="13.5" x14ac:dyDescent="0.25"/>
    <row r="135" s="193" customFormat="1" ht="13.5" x14ac:dyDescent="0.25"/>
    <row r="136" s="193" customFormat="1" ht="13.5" x14ac:dyDescent="0.25"/>
    <row r="137" s="193" customFormat="1" ht="13.5" x14ac:dyDescent="0.25"/>
    <row r="138" s="193" customFormat="1" ht="13.5" x14ac:dyDescent="0.25"/>
    <row r="139" s="193" customFormat="1" ht="13.5" x14ac:dyDescent="0.25"/>
    <row r="140" s="193" customFormat="1" ht="13.5" x14ac:dyDescent="0.25"/>
    <row r="141" s="193" customFormat="1" ht="13.5" x14ac:dyDescent="0.25"/>
    <row r="142" s="193" customFormat="1" ht="13.5" x14ac:dyDescent="0.25"/>
    <row r="143" s="193" customFormat="1" ht="13.5" x14ac:dyDescent="0.25"/>
    <row r="144" s="193" customFormat="1" ht="13.5" x14ac:dyDescent="0.25"/>
    <row r="145" s="193" customFormat="1" ht="13.5" x14ac:dyDescent="0.25"/>
    <row r="146" s="193" customFormat="1" ht="13.5" x14ac:dyDescent="0.25"/>
    <row r="147" s="193" customFormat="1" ht="13.5" x14ac:dyDescent="0.25"/>
    <row r="148" s="193" customFormat="1" ht="13.5" x14ac:dyDescent="0.25"/>
    <row r="149" s="193" customFormat="1" ht="13.5" x14ac:dyDescent="0.25"/>
    <row r="150" s="193" customFormat="1" ht="13.5" x14ac:dyDescent="0.25"/>
    <row r="151" s="193" customFormat="1" ht="13.5" x14ac:dyDescent="0.25"/>
    <row r="152" s="193" customFormat="1" ht="13.5" x14ac:dyDescent="0.25"/>
    <row r="153" s="193" customFormat="1" ht="13.5" x14ac:dyDescent="0.25"/>
    <row r="154" s="193" customFormat="1" ht="13.5" x14ac:dyDescent="0.25"/>
    <row r="155" s="193" customFormat="1" ht="13.5" x14ac:dyDescent="0.25"/>
    <row r="156" s="193" customFormat="1" ht="13.5" x14ac:dyDescent="0.25"/>
    <row r="157" s="193" customFormat="1" ht="13.5" x14ac:dyDescent="0.25"/>
    <row r="158" s="193" customFormat="1" ht="13.5" x14ac:dyDescent="0.25"/>
    <row r="159" s="193" customFormat="1" ht="13.5" x14ac:dyDescent="0.25"/>
    <row r="160" s="193" customFormat="1" ht="13.5" x14ac:dyDescent="0.25"/>
    <row r="161" s="193" customFormat="1" ht="13.5" x14ac:dyDescent="0.25"/>
    <row r="162" s="193" customFormat="1" ht="13.5" x14ac:dyDescent="0.25"/>
    <row r="163" s="193" customFormat="1" ht="13.5" x14ac:dyDescent="0.25"/>
    <row r="164" s="193" customFormat="1" ht="13.5" x14ac:dyDescent="0.25"/>
    <row r="165" s="193" customFormat="1" ht="13.5" x14ac:dyDescent="0.25"/>
    <row r="166" s="193" customFormat="1" ht="13.5" x14ac:dyDescent="0.25"/>
    <row r="167" s="193" customFormat="1" ht="13.5" x14ac:dyDescent="0.25"/>
    <row r="168" s="193" customFormat="1" ht="13.5" x14ac:dyDescent="0.25"/>
    <row r="169" s="193" customFormat="1" ht="13.5" x14ac:dyDescent="0.25"/>
    <row r="170" s="193" customFormat="1" ht="13.5" x14ac:dyDescent="0.25"/>
    <row r="171" s="193" customFormat="1" ht="13.5" x14ac:dyDescent="0.25"/>
    <row r="172" s="193" customFormat="1" ht="13.5" x14ac:dyDescent="0.25"/>
    <row r="173" s="193" customFormat="1" ht="13.5" x14ac:dyDescent="0.25"/>
    <row r="174" s="193" customFormat="1" ht="13.5" x14ac:dyDescent="0.25"/>
    <row r="175" s="193" customFormat="1" ht="13.5" x14ac:dyDescent="0.25"/>
    <row r="176" s="193" customFormat="1" ht="13.5" x14ac:dyDescent="0.25"/>
    <row r="177" s="193" customFormat="1" ht="13.5" x14ac:dyDescent="0.25"/>
    <row r="178" s="193" customFormat="1" ht="13.5" x14ac:dyDescent="0.25"/>
    <row r="179" s="193" customFormat="1" ht="13.5" x14ac:dyDescent="0.25"/>
    <row r="180" s="193" customFormat="1" ht="13.5" x14ac:dyDescent="0.25"/>
    <row r="181" s="193" customFormat="1" ht="13.5" x14ac:dyDescent="0.25"/>
    <row r="182" s="193" customFormat="1" ht="13.5" x14ac:dyDescent="0.25"/>
    <row r="183" s="193" customFormat="1" ht="13.5" x14ac:dyDescent="0.25"/>
    <row r="184" s="193" customFormat="1" ht="13.5" x14ac:dyDescent="0.25"/>
    <row r="185" s="193" customFormat="1" ht="13.5" x14ac:dyDescent="0.25"/>
    <row r="186" s="193" customFormat="1" ht="13.5" x14ac:dyDescent="0.25"/>
    <row r="187" s="193" customFormat="1" ht="13.5" x14ac:dyDescent="0.25"/>
    <row r="188" s="193" customFormat="1" ht="13.5" x14ac:dyDescent="0.25"/>
    <row r="189" s="193" customFormat="1" ht="13.5" x14ac:dyDescent="0.25"/>
    <row r="190" s="193" customFormat="1" ht="13.5" x14ac:dyDescent="0.25"/>
    <row r="191" s="193" customFormat="1" ht="13.5" x14ac:dyDescent="0.25"/>
    <row r="192" s="193" customFormat="1" ht="13.5" x14ac:dyDescent="0.25"/>
    <row r="193" s="193" customFormat="1" ht="13.5" x14ac:dyDescent="0.25"/>
    <row r="194" s="193" customFormat="1" ht="13.5" x14ac:dyDescent="0.25"/>
    <row r="195" s="193" customFormat="1" ht="13.5" x14ac:dyDescent="0.25"/>
    <row r="196" s="193" customFormat="1" ht="13.5" x14ac:dyDescent="0.25"/>
    <row r="197" s="193" customFormat="1" ht="13.5" x14ac:dyDescent="0.25"/>
    <row r="198" s="193" customFormat="1" ht="13.5" x14ac:dyDescent="0.25"/>
    <row r="199" s="193" customFormat="1" ht="13.5" x14ac:dyDescent="0.25"/>
    <row r="200" s="193" customFormat="1" ht="13.5" x14ac:dyDescent="0.25"/>
    <row r="201" s="193" customFormat="1" ht="13.5" x14ac:dyDescent="0.25"/>
    <row r="202" s="193" customFormat="1" ht="13.5" x14ac:dyDescent="0.25"/>
    <row r="203" s="193" customFormat="1" ht="13.5" x14ac:dyDescent="0.25"/>
    <row r="204" s="193" customFormat="1" ht="13.5" x14ac:dyDescent="0.25"/>
    <row r="205" s="193" customFormat="1" ht="13.5" x14ac:dyDescent="0.25"/>
    <row r="206" s="193" customFormat="1" ht="13.5" x14ac:dyDescent="0.25"/>
    <row r="207" s="193" customFormat="1" ht="13.5" x14ac:dyDescent="0.25"/>
    <row r="208" s="193" customFormat="1" ht="13.5" x14ac:dyDescent="0.25"/>
    <row r="209" s="193" customFormat="1" ht="13.5" x14ac:dyDescent="0.25"/>
    <row r="210" s="193" customFormat="1" ht="13.5" x14ac:dyDescent="0.25"/>
    <row r="211" s="193" customFormat="1" ht="13.5" x14ac:dyDescent="0.25"/>
    <row r="212" s="193" customFormat="1" ht="13.5" x14ac:dyDescent="0.25"/>
    <row r="213" s="193" customFormat="1" ht="13.5" x14ac:dyDescent="0.25"/>
    <row r="214" s="193" customFormat="1" ht="13.5" x14ac:dyDescent="0.25"/>
    <row r="215" s="193" customFormat="1" ht="13.5" x14ac:dyDescent="0.25"/>
    <row r="216" s="193" customFormat="1" ht="13.5" x14ac:dyDescent="0.25"/>
    <row r="217" s="193" customFormat="1" ht="13.5" x14ac:dyDescent="0.25"/>
    <row r="218" s="193" customFormat="1" ht="13.5" x14ac:dyDescent="0.25"/>
    <row r="219" s="193" customFormat="1" ht="13.5" x14ac:dyDescent="0.25"/>
    <row r="220" s="193" customFormat="1" ht="13.5" x14ac:dyDescent="0.25"/>
    <row r="221" s="193" customFormat="1" ht="13.5" x14ac:dyDescent="0.25"/>
    <row r="222" s="193" customFormat="1" ht="13.5" x14ac:dyDescent="0.25"/>
    <row r="223" s="193" customFormat="1" ht="13.5" x14ac:dyDescent="0.25"/>
    <row r="224" s="193" customFormat="1" ht="13.5" x14ac:dyDescent="0.25"/>
    <row r="225" s="193" customFormat="1" ht="13.5" x14ac:dyDescent="0.25"/>
    <row r="226" s="193" customFormat="1" ht="13.5" x14ac:dyDescent="0.25"/>
    <row r="227" s="193" customFormat="1" ht="13.5" x14ac:dyDescent="0.25"/>
    <row r="228" s="193" customFormat="1" ht="13.5" x14ac:dyDescent="0.25"/>
    <row r="229" s="193" customFormat="1" ht="13.5" x14ac:dyDescent="0.25"/>
    <row r="230" s="193" customFormat="1" ht="13.5" x14ac:dyDescent="0.25"/>
    <row r="231" s="193" customFormat="1" ht="13.5" x14ac:dyDescent="0.25"/>
    <row r="232" s="193" customFormat="1" ht="13.5" x14ac:dyDescent="0.25"/>
    <row r="233" s="193" customFormat="1" ht="13.5" x14ac:dyDescent="0.25"/>
    <row r="234" s="193" customFormat="1" ht="13.5" x14ac:dyDescent="0.25"/>
    <row r="235" s="193" customFormat="1" ht="13.5" x14ac:dyDescent="0.25"/>
    <row r="236" s="193" customFormat="1" ht="13.5" x14ac:dyDescent="0.25"/>
    <row r="237" s="193" customFormat="1" ht="13.5" x14ac:dyDescent="0.25"/>
    <row r="238" s="193" customFormat="1" ht="13.5" x14ac:dyDescent="0.25"/>
    <row r="239" s="193" customFormat="1" ht="13.5" x14ac:dyDescent="0.25"/>
    <row r="240" s="193" customFormat="1" ht="13.5" x14ac:dyDescent="0.25"/>
    <row r="241" s="193" customFormat="1" ht="13.5" x14ac:dyDescent="0.25"/>
    <row r="242" s="193" customFormat="1" ht="13.5" x14ac:dyDescent="0.25"/>
    <row r="243" s="193" customFormat="1" ht="13.5" x14ac:dyDescent="0.25"/>
    <row r="244" s="193" customFormat="1" ht="13.5" x14ac:dyDescent="0.25"/>
    <row r="245" s="193" customFormat="1" ht="13.5" x14ac:dyDescent="0.25"/>
    <row r="246" s="193" customFormat="1" ht="13.5" x14ac:dyDescent="0.25"/>
    <row r="247" s="193" customFormat="1" ht="13.5" x14ac:dyDescent="0.25"/>
    <row r="248" s="193" customFormat="1" ht="13.5" x14ac:dyDescent="0.25"/>
    <row r="249" s="193" customFormat="1" ht="13.5" x14ac:dyDescent="0.25"/>
    <row r="250" s="193" customFormat="1" ht="13.5" x14ac:dyDescent="0.25"/>
    <row r="251" s="193" customFormat="1" ht="13.5" x14ac:dyDescent="0.25"/>
    <row r="252" s="193" customFormat="1" ht="13.5" x14ac:dyDescent="0.25"/>
    <row r="253" s="193" customFormat="1" ht="13.5" x14ac:dyDescent="0.25"/>
    <row r="254" s="193" customFormat="1" ht="13.5" x14ac:dyDescent="0.25"/>
    <row r="255" s="193" customFormat="1" ht="13.5" x14ac:dyDescent="0.25"/>
    <row r="256" s="193" customFormat="1" ht="13.5" x14ac:dyDescent="0.25"/>
    <row r="257" s="193" customFormat="1" ht="13.5" x14ac:dyDescent="0.25"/>
    <row r="258" s="193" customFormat="1" ht="13.5" x14ac:dyDescent="0.25"/>
    <row r="259" s="193" customFormat="1" ht="13.5" x14ac:dyDescent="0.25"/>
    <row r="260" s="193" customFormat="1" ht="13.5" x14ac:dyDescent="0.25"/>
    <row r="261" s="193" customFormat="1" ht="13.5" x14ac:dyDescent="0.25"/>
    <row r="262" s="193" customFormat="1" ht="13.5" x14ac:dyDescent="0.25"/>
    <row r="263" s="193" customFormat="1" ht="13.5" x14ac:dyDescent="0.25"/>
    <row r="264" s="193" customFormat="1" ht="13.5" x14ac:dyDescent="0.25"/>
    <row r="265" s="193" customFormat="1" ht="13.5" x14ac:dyDescent="0.25"/>
    <row r="266" s="193" customFormat="1" ht="13.5" x14ac:dyDescent="0.25"/>
    <row r="267" s="193" customFormat="1" ht="13.5" x14ac:dyDescent="0.25"/>
    <row r="268" s="193" customFormat="1" ht="13.5" x14ac:dyDescent="0.25"/>
    <row r="269" s="193" customFormat="1" ht="13.5" x14ac:dyDescent="0.25"/>
    <row r="270" s="193" customFormat="1" ht="13.5" x14ac:dyDescent="0.25"/>
    <row r="271" s="193" customFormat="1" ht="13.5" x14ac:dyDescent="0.25"/>
    <row r="272" s="193" customFormat="1" ht="13.5" x14ac:dyDescent="0.25"/>
    <row r="273" s="193" customFormat="1" ht="13.5" x14ac:dyDescent="0.25"/>
    <row r="274" s="193" customFormat="1" ht="13.5" x14ac:dyDescent="0.25"/>
    <row r="275" s="193" customFormat="1" ht="13.5" x14ac:dyDescent="0.25"/>
    <row r="276" s="193" customFormat="1" ht="13.5" x14ac:dyDescent="0.25"/>
    <row r="277" s="193" customFormat="1" ht="13.5" x14ac:dyDescent="0.25"/>
    <row r="278" s="193" customFormat="1" ht="13.5" x14ac:dyDescent="0.25"/>
    <row r="279" s="193" customFormat="1" ht="13.5" x14ac:dyDescent="0.25"/>
    <row r="280" s="193" customFormat="1" ht="13.5" x14ac:dyDescent="0.25"/>
    <row r="281" s="193" customFormat="1" ht="13.5" x14ac:dyDescent="0.25"/>
    <row r="282" s="193" customFormat="1" ht="13.5" x14ac:dyDescent="0.25"/>
    <row r="283" s="193" customFormat="1" ht="13.5" x14ac:dyDescent="0.25"/>
    <row r="284" s="193" customFormat="1" ht="13.5" x14ac:dyDescent="0.25"/>
    <row r="285" s="193" customFormat="1" ht="13.5" x14ac:dyDescent="0.25"/>
    <row r="286" s="193" customFormat="1" ht="13.5" x14ac:dyDescent="0.25"/>
    <row r="287" s="193" customFormat="1" ht="13.5" x14ac:dyDescent="0.25"/>
    <row r="288" s="193" customFormat="1" ht="13.5" x14ac:dyDescent="0.25"/>
    <row r="289" s="193" customFormat="1" ht="13.5" x14ac:dyDescent="0.25"/>
    <row r="290" s="193" customFormat="1" ht="13.5" x14ac:dyDescent="0.25"/>
    <row r="291" s="193" customFormat="1" ht="13.5" x14ac:dyDescent="0.25"/>
    <row r="292" s="193" customFormat="1" ht="13.5" x14ac:dyDescent="0.25"/>
    <row r="293" s="193" customFormat="1" ht="13.5" x14ac:dyDescent="0.25"/>
    <row r="294" s="193" customFormat="1" ht="13.5" x14ac:dyDescent="0.25"/>
    <row r="295" s="193" customFormat="1" ht="13.5" x14ac:dyDescent="0.25"/>
    <row r="296" s="193" customFormat="1" ht="13.5" x14ac:dyDescent="0.25"/>
    <row r="297" s="193" customFormat="1" ht="13.5" x14ac:dyDescent="0.25"/>
    <row r="298" s="193" customFormat="1" ht="13.5" x14ac:dyDescent="0.25"/>
    <row r="299" s="193" customFormat="1" ht="13.5" x14ac:dyDescent="0.25"/>
    <row r="300" s="193" customFormat="1" ht="13.5" x14ac:dyDescent="0.25"/>
    <row r="301" s="193" customFormat="1" ht="13.5" x14ac:dyDescent="0.25"/>
    <row r="302" s="193" customFormat="1" ht="13.5" x14ac:dyDescent="0.25"/>
    <row r="303" s="193" customFormat="1" ht="13.5" x14ac:dyDescent="0.25"/>
    <row r="304" s="193" customFormat="1" ht="13.5" x14ac:dyDescent="0.25"/>
    <row r="305" s="193" customFormat="1" ht="13.5" x14ac:dyDescent="0.25"/>
    <row r="306" s="193" customFormat="1" ht="13.5" x14ac:dyDescent="0.25"/>
    <row r="307" s="193" customFormat="1" ht="13.5" x14ac:dyDescent="0.25"/>
    <row r="308" s="193" customFormat="1" ht="13.5" x14ac:dyDescent="0.25"/>
    <row r="309" s="193" customFormat="1" ht="13.5" x14ac:dyDescent="0.25"/>
    <row r="310" s="193" customFormat="1" ht="13.5" x14ac:dyDescent="0.25"/>
    <row r="311" s="193" customFormat="1" ht="13.5" x14ac:dyDescent="0.25"/>
    <row r="312" s="193" customFormat="1" ht="13.5" x14ac:dyDescent="0.25"/>
    <row r="313" s="193" customFormat="1" ht="13.5" x14ac:dyDescent="0.25"/>
    <row r="314" s="193" customFormat="1" ht="13.5" x14ac:dyDescent="0.25"/>
    <row r="315" s="193" customFormat="1" ht="13.5" x14ac:dyDescent="0.25"/>
    <row r="316" s="193" customFormat="1" ht="13.5" x14ac:dyDescent="0.25"/>
    <row r="317" s="193" customFormat="1" ht="13.5" x14ac:dyDescent="0.25"/>
    <row r="318" s="193" customFormat="1" ht="13.5" x14ac:dyDescent="0.25"/>
    <row r="319" s="193" customFormat="1" ht="13.5" x14ac:dyDescent="0.25"/>
  </sheetData>
  <mergeCells count="4">
    <mergeCell ref="A3:B3"/>
    <mergeCell ref="C3:C4"/>
    <mergeCell ref="D3:D4"/>
    <mergeCell ref="A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180"/>
  <sheetViews>
    <sheetView topLeftCell="A349" workbookViewId="0">
      <selection activeCell="H379" sqref="H379:H489"/>
    </sheetView>
  </sheetViews>
  <sheetFormatPr defaultRowHeight="14.25" x14ac:dyDescent="0.2"/>
  <cols>
    <col min="1" max="1" width="7.7109375" style="46" customWidth="1"/>
    <col min="2" max="2" width="4.7109375" customWidth="1"/>
    <col min="3" max="3" width="6.5703125" style="2" customWidth="1"/>
    <col min="6" max="6" width="7.7109375" style="46" customWidth="1"/>
    <col min="7" max="7" width="8.28515625" style="164" customWidth="1"/>
  </cols>
  <sheetData>
    <row r="1" spans="1:8" x14ac:dyDescent="0.2">
      <c r="A1" s="124" t="s">
        <v>895</v>
      </c>
      <c r="C1" s="129" t="s">
        <v>895</v>
      </c>
      <c r="F1" s="29">
        <v>10004</v>
      </c>
      <c r="G1" s="159">
        <v>10004</v>
      </c>
      <c r="H1" s="166">
        <f>F1-G1</f>
        <v>0</v>
      </c>
    </row>
    <row r="2" spans="1:8" x14ac:dyDescent="0.2">
      <c r="A2" s="248" t="s">
        <v>1595</v>
      </c>
      <c r="C2" s="129" t="s">
        <v>1595</v>
      </c>
      <c r="F2" s="31">
        <v>10005</v>
      </c>
      <c r="G2" s="159">
        <v>10005</v>
      </c>
      <c r="H2" s="166">
        <f t="shared" ref="H2:H65" si="0">F2-G2</f>
        <v>0</v>
      </c>
    </row>
    <row r="3" spans="1:8" x14ac:dyDescent="0.2">
      <c r="A3" s="124" t="s">
        <v>1596</v>
      </c>
      <c r="C3" s="129" t="s">
        <v>1596</v>
      </c>
      <c r="F3" s="31">
        <v>10010</v>
      </c>
      <c r="G3" s="159">
        <v>10010</v>
      </c>
      <c r="H3" s="166">
        <f t="shared" si="0"/>
        <v>0</v>
      </c>
    </row>
    <row r="4" spans="1:8" ht="15" thickBot="1" x14ac:dyDescent="0.25">
      <c r="A4" s="249" t="s">
        <v>1688</v>
      </c>
      <c r="C4" s="132" t="s">
        <v>1688</v>
      </c>
      <c r="F4" s="29">
        <v>10024</v>
      </c>
      <c r="G4" s="159">
        <v>10024</v>
      </c>
      <c r="H4" s="166">
        <f t="shared" si="0"/>
        <v>0</v>
      </c>
    </row>
    <row r="5" spans="1:8" ht="15" thickBot="1" x14ac:dyDescent="0.25">
      <c r="A5" s="125" t="s">
        <v>1586</v>
      </c>
      <c r="C5" s="129" t="s">
        <v>1586</v>
      </c>
      <c r="F5" s="31">
        <v>10025</v>
      </c>
      <c r="G5" s="159">
        <v>10025</v>
      </c>
      <c r="H5" s="166">
        <f t="shared" si="0"/>
        <v>0</v>
      </c>
    </row>
    <row r="6" spans="1:8" x14ac:dyDescent="0.2">
      <c r="A6" s="34" t="s">
        <v>1568</v>
      </c>
      <c r="C6" s="131" t="s">
        <v>1591</v>
      </c>
      <c r="F6" s="31">
        <v>10060</v>
      </c>
      <c r="G6" s="159">
        <v>10060</v>
      </c>
      <c r="H6" s="166">
        <f t="shared" si="0"/>
        <v>0</v>
      </c>
    </row>
    <row r="7" spans="1:8" x14ac:dyDescent="0.2">
      <c r="A7" s="34" t="s">
        <v>1570</v>
      </c>
      <c r="C7" s="4" t="s">
        <v>1589</v>
      </c>
      <c r="F7" s="31">
        <v>10070</v>
      </c>
      <c r="G7" s="159">
        <v>10070</v>
      </c>
      <c r="H7" s="166">
        <f t="shared" si="0"/>
        <v>0</v>
      </c>
    </row>
    <row r="8" spans="1:8" x14ac:dyDescent="0.2">
      <c r="A8" s="34" t="s">
        <v>1572</v>
      </c>
      <c r="C8" s="4" t="s">
        <v>1568</v>
      </c>
      <c r="F8" s="29">
        <v>10075</v>
      </c>
      <c r="G8" s="159">
        <v>10075</v>
      </c>
      <c r="H8" s="166">
        <f t="shared" si="0"/>
        <v>0</v>
      </c>
    </row>
    <row r="9" spans="1:8" x14ac:dyDescent="0.2">
      <c r="A9" s="34" t="s">
        <v>1044</v>
      </c>
      <c r="C9" s="4" t="s">
        <v>1570</v>
      </c>
      <c r="F9" s="29">
        <v>10079</v>
      </c>
      <c r="G9" s="159">
        <v>10079</v>
      </c>
      <c r="H9" s="166">
        <f t="shared" si="0"/>
        <v>0</v>
      </c>
    </row>
    <row r="10" spans="1:8" x14ac:dyDescent="0.2">
      <c r="A10" s="250" t="s">
        <v>1575</v>
      </c>
      <c r="C10" s="4" t="s">
        <v>1572</v>
      </c>
      <c r="F10" s="31">
        <v>10080</v>
      </c>
      <c r="G10" s="159">
        <v>10080</v>
      </c>
      <c r="H10" s="166">
        <f t="shared" si="0"/>
        <v>0</v>
      </c>
    </row>
    <row r="11" spans="1:8" x14ac:dyDescent="0.2">
      <c r="A11" s="250" t="s">
        <v>1577</v>
      </c>
      <c r="C11" s="4" t="s">
        <v>1044</v>
      </c>
      <c r="F11" s="31">
        <v>10103</v>
      </c>
      <c r="G11" s="159">
        <v>10103</v>
      </c>
      <c r="H11" s="166">
        <f t="shared" si="0"/>
        <v>0</v>
      </c>
    </row>
    <row r="12" spans="1:8" x14ac:dyDescent="0.2">
      <c r="A12" s="34" t="s">
        <v>1580</v>
      </c>
      <c r="C12" s="4" t="s">
        <v>1575</v>
      </c>
      <c r="F12" s="31">
        <v>10100</v>
      </c>
      <c r="G12" s="159">
        <v>10100</v>
      </c>
      <c r="H12" s="166">
        <f t="shared" si="0"/>
        <v>0</v>
      </c>
    </row>
    <row r="13" spans="1:8" x14ac:dyDescent="0.2">
      <c r="A13" s="34" t="s">
        <v>1582</v>
      </c>
      <c r="C13" s="4" t="s">
        <v>1577</v>
      </c>
      <c r="F13" s="31">
        <v>10111</v>
      </c>
      <c r="G13" s="159">
        <v>10111</v>
      </c>
      <c r="H13" s="166">
        <f t="shared" si="0"/>
        <v>0</v>
      </c>
    </row>
    <row r="14" spans="1:8" x14ac:dyDescent="0.2">
      <c r="A14" s="250" t="s">
        <v>1002</v>
      </c>
      <c r="C14" s="4" t="s">
        <v>1580</v>
      </c>
      <c r="F14" s="31">
        <v>10123</v>
      </c>
      <c r="G14" s="159">
        <v>10123</v>
      </c>
      <c r="H14" s="166">
        <f t="shared" si="0"/>
        <v>0</v>
      </c>
    </row>
    <row r="15" spans="1:8" x14ac:dyDescent="0.2">
      <c r="A15" s="34" t="s">
        <v>1436</v>
      </c>
      <c r="C15" s="4" t="s">
        <v>1582</v>
      </c>
      <c r="F15" s="31">
        <v>10120</v>
      </c>
      <c r="G15" s="159">
        <v>10120</v>
      </c>
      <c r="H15" s="166">
        <f t="shared" si="0"/>
        <v>0</v>
      </c>
    </row>
    <row r="16" spans="1:8" x14ac:dyDescent="0.2">
      <c r="A16" s="250" t="s">
        <v>1618</v>
      </c>
      <c r="C16" s="4" t="s">
        <v>1002</v>
      </c>
      <c r="F16" s="31">
        <v>10130</v>
      </c>
      <c r="G16" s="159">
        <v>10130</v>
      </c>
      <c r="H16" s="166">
        <f t="shared" si="0"/>
        <v>0</v>
      </c>
    </row>
    <row r="17" spans="1:8" x14ac:dyDescent="0.2">
      <c r="A17" s="250" t="s">
        <v>1648</v>
      </c>
      <c r="C17" s="4" t="s">
        <v>1436</v>
      </c>
      <c r="F17" s="31">
        <v>10135</v>
      </c>
      <c r="G17" s="159">
        <v>10135</v>
      </c>
      <c r="H17" s="166">
        <f t="shared" si="0"/>
        <v>0</v>
      </c>
    </row>
    <row r="18" spans="1:8" x14ac:dyDescent="0.2">
      <c r="A18" s="250" t="s">
        <v>1415</v>
      </c>
      <c r="C18" s="4" t="s">
        <v>1618</v>
      </c>
      <c r="F18" s="31">
        <v>10140</v>
      </c>
      <c r="G18" s="159">
        <v>10140</v>
      </c>
      <c r="H18" s="166">
        <f t="shared" si="0"/>
        <v>0</v>
      </c>
    </row>
    <row r="19" spans="1:8" x14ac:dyDescent="0.2">
      <c r="A19" s="34" t="s">
        <v>897</v>
      </c>
      <c r="C19" s="4" t="s">
        <v>1648</v>
      </c>
      <c r="F19" s="31">
        <v>10150</v>
      </c>
      <c r="G19" s="159">
        <v>10150</v>
      </c>
      <c r="H19" s="166">
        <f t="shared" si="0"/>
        <v>0</v>
      </c>
    </row>
    <row r="20" spans="1:8" x14ac:dyDescent="0.2">
      <c r="A20" s="34" t="s">
        <v>1718</v>
      </c>
      <c r="C20" s="4" t="s">
        <v>1415</v>
      </c>
      <c r="F20" s="36">
        <v>10151</v>
      </c>
      <c r="G20" s="159">
        <v>10151</v>
      </c>
      <c r="H20" s="166">
        <f t="shared" si="0"/>
        <v>0</v>
      </c>
    </row>
    <row r="21" spans="1:8" x14ac:dyDescent="0.2">
      <c r="A21" s="34" t="s">
        <v>926</v>
      </c>
      <c r="C21" s="4" t="s">
        <v>2018</v>
      </c>
      <c r="F21" s="31">
        <v>10170</v>
      </c>
      <c r="G21" s="159">
        <v>10170</v>
      </c>
      <c r="H21" s="166">
        <f t="shared" si="0"/>
        <v>0</v>
      </c>
    </row>
    <row r="22" spans="1:8" x14ac:dyDescent="0.2">
      <c r="A22" s="34" t="s">
        <v>958</v>
      </c>
      <c r="C22" s="4" t="s">
        <v>897</v>
      </c>
      <c r="F22" s="31">
        <v>10180</v>
      </c>
      <c r="G22" s="159">
        <v>10180</v>
      </c>
      <c r="H22" s="166">
        <f t="shared" si="0"/>
        <v>0</v>
      </c>
    </row>
    <row r="23" spans="1:8" x14ac:dyDescent="0.2">
      <c r="A23" s="250" t="s">
        <v>1431</v>
      </c>
      <c r="C23" s="4" t="s">
        <v>1718</v>
      </c>
      <c r="F23" s="31">
        <v>10190</v>
      </c>
      <c r="G23" s="159">
        <v>10190</v>
      </c>
      <c r="H23" s="166">
        <f t="shared" si="0"/>
        <v>0</v>
      </c>
    </row>
    <row r="24" spans="1:8" x14ac:dyDescent="0.2">
      <c r="A24" s="250" t="s">
        <v>1624</v>
      </c>
      <c r="C24" s="4" t="s">
        <v>1626</v>
      </c>
      <c r="F24" s="31">
        <v>10220</v>
      </c>
      <c r="G24" s="159">
        <v>10220</v>
      </c>
      <c r="H24" s="166">
        <f t="shared" si="0"/>
        <v>0</v>
      </c>
    </row>
    <row r="25" spans="1:8" x14ac:dyDescent="0.2">
      <c r="A25" s="250" t="s">
        <v>1720</v>
      </c>
      <c r="C25" s="4" t="s">
        <v>901</v>
      </c>
      <c r="F25" s="31">
        <v>10225</v>
      </c>
      <c r="G25" s="159">
        <v>10225</v>
      </c>
      <c r="H25" s="166">
        <f t="shared" si="0"/>
        <v>0</v>
      </c>
    </row>
    <row r="26" spans="1:8" x14ac:dyDescent="0.2">
      <c r="A26" s="34" t="s">
        <v>1615</v>
      </c>
      <c r="C26" s="4" t="s">
        <v>1710</v>
      </c>
      <c r="F26" s="31">
        <v>10230</v>
      </c>
      <c r="G26" s="159">
        <v>10230</v>
      </c>
      <c r="H26" s="166">
        <f t="shared" si="0"/>
        <v>0</v>
      </c>
    </row>
    <row r="27" spans="1:8" x14ac:dyDescent="0.2">
      <c r="A27" s="250" t="s">
        <v>1727</v>
      </c>
      <c r="C27" s="4" t="s">
        <v>1417</v>
      </c>
      <c r="F27" s="31">
        <v>10270</v>
      </c>
      <c r="G27" s="159">
        <v>10270</v>
      </c>
      <c r="H27" s="166">
        <f t="shared" si="0"/>
        <v>0</v>
      </c>
    </row>
    <row r="28" spans="1:8" x14ac:dyDescent="0.2">
      <c r="A28" s="34" t="s">
        <v>2003</v>
      </c>
      <c r="C28" s="4" t="s">
        <v>1639</v>
      </c>
      <c r="F28" s="31"/>
      <c r="G28" s="159"/>
      <c r="H28" s="166">
        <f t="shared" si="0"/>
        <v>0</v>
      </c>
    </row>
    <row r="29" spans="1:8" x14ac:dyDescent="0.2">
      <c r="A29" s="250" t="s">
        <v>933</v>
      </c>
      <c r="C29" s="4" t="s">
        <v>1641</v>
      </c>
      <c r="F29" s="31">
        <v>10300</v>
      </c>
      <c r="G29" s="159">
        <v>10300</v>
      </c>
      <c r="H29" s="166">
        <f t="shared" si="0"/>
        <v>0</v>
      </c>
    </row>
    <row r="30" spans="1:8" x14ac:dyDescent="0.2">
      <c r="A30" s="250" t="s">
        <v>1933</v>
      </c>
      <c r="C30" s="4" t="s">
        <v>926</v>
      </c>
      <c r="F30" s="31">
        <v>10090</v>
      </c>
      <c r="G30" s="159">
        <v>10090</v>
      </c>
      <c r="H30" s="166">
        <f t="shared" si="0"/>
        <v>0</v>
      </c>
    </row>
    <row r="31" spans="1:8" x14ac:dyDescent="0.2">
      <c r="A31" s="250" t="s">
        <v>1731</v>
      </c>
      <c r="C31" s="4" t="s">
        <v>958</v>
      </c>
      <c r="F31" s="31">
        <v>10203</v>
      </c>
      <c r="G31" s="159">
        <v>10203</v>
      </c>
      <c r="H31" s="166">
        <f t="shared" si="0"/>
        <v>0</v>
      </c>
    </row>
    <row r="32" spans="1:8" x14ac:dyDescent="0.2">
      <c r="A32" s="250" t="s">
        <v>1021</v>
      </c>
      <c r="C32" s="4" t="s">
        <v>1431</v>
      </c>
      <c r="F32" s="29">
        <v>10305</v>
      </c>
      <c r="G32" s="159">
        <v>10305</v>
      </c>
      <c r="H32" s="166">
        <f t="shared" si="0"/>
        <v>0</v>
      </c>
    </row>
    <row r="33" spans="1:8" x14ac:dyDescent="0.2">
      <c r="A33" s="250" t="s">
        <v>1023</v>
      </c>
      <c r="C33" s="4" t="s">
        <v>1624</v>
      </c>
      <c r="F33" s="29">
        <v>10310</v>
      </c>
      <c r="G33" s="159">
        <v>10310</v>
      </c>
      <c r="H33" s="166">
        <f t="shared" si="0"/>
        <v>0</v>
      </c>
    </row>
    <row r="34" spans="1:8" x14ac:dyDescent="0.2">
      <c r="A34" s="250" t="s">
        <v>1027</v>
      </c>
      <c r="C34" s="4" t="s">
        <v>1720</v>
      </c>
      <c r="F34" s="29">
        <v>10315</v>
      </c>
      <c r="G34" s="159">
        <v>10315</v>
      </c>
      <c r="H34" s="166">
        <f t="shared" si="0"/>
        <v>0</v>
      </c>
    </row>
    <row r="35" spans="1:8" x14ac:dyDescent="0.2">
      <c r="A35" s="250" t="s">
        <v>1025</v>
      </c>
      <c r="C35" s="4" t="s">
        <v>2019</v>
      </c>
      <c r="F35" s="29">
        <v>10320</v>
      </c>
      <c r="G35" s="159">
        <v>10320</v>
      </c>
      <c r="H35" s="166">
        <f t="shared" si="0"/>
        <v>0</v>
      </c>
    </row>
    <row r="36" spans="1:8" x14ac:dyDescent="0.2">
      <c r="A36" s="250" t="s">
        <v>1842</v>
      </c>
      <c r="C36" s="4" t="s">
        <v>1404</v>
      </c>
      <c r="F36" s="29"/>
      <c r="G36" s="159"/>
      <c r="H36" s="166">
        <f t="shared" si="0"/>
        <v>0</v>
      </c>
    </row>
    <row r="37" spans="1:8" x14ac:dyDescent="0.2">
      <c r="A37" s="250" t="s">
        <v>1029</v>
      </c>
      <c r="C37" s="4" t="s">
        <v>928</v>
      </c>
      <c r="F37" s="29"/>
      <c r="G37" s="159"/>
      <c r="H37" s="166">
        <f t="shared" si="0"/>
        <v>0</v>
      </c>
    </row>
    <row r="38" spans="1:8" x14ac:dyDescent="0.2">
      <c r="A38" s="250" t="s">
        <v>1031</v>
      </c>
      <c r="C38" s="4" t="s">
        <v>2020</v>
      </c>
      <c r="F38" s="31">
        <v>10505</v>
      </c>
      <c r="G38" s="159">
        <v>10505</v>
      </c>
      <c r="H38" s="166">
        <f t="shared" si="0"/>
        <v>0</v>
      </c>
    </row>
    <row r="39" spans="1:8" x14ac:dyDescent="0.2">
      <c r="A39" s="34" t="s">
        <v>1035</v>
      </c>
      <c r="C39" s="4" t="s">
        <v>1613</v>
      </c>
      <c r="F39" s="31">
        <v>10510</v>
      </c>
      <c r="G39" s="159">
        <v>10510</v>
      </c>
      <c r="H39" s="166">
        <f t="shared" si="0"/>
        <v>0</v>
      </c>
    </row>
    <row r="40" spans="1:8" x14ac:dyDescent="0.2">
      <c r="A40" s="34" t="s">
        <v>2021</v>
      </c>
      <c r="C40" s="4" t="s">
        <v>1615</v>
      </c>
      <c r="F40" s="31">
        <v>10520</v>
      </c>
      <c r="G40" s="159">
        <v>10520</v>
      </c>
      <c r="H40" s="166">
        <f t="shared" si="0"/>
        <v>0</v>
      </c>
    </row>
    <row r="41" spans="1:8" x14ac:dyDescent="0.2">
      <c r="A41" s="34" t="s">
        <v>1737</v>
      </c>
      <c r="C41" s="4" t="s">
        <v>1727</v>
      </c>
      <c r="F41" s="31">
        <v>10521</v>
      </c>
      <c r="G41" s="159">
        <v>10521</v>
      </c>
      <c r="H41" s="166">
        <f t="shared" si="0"/>
        <v>0</v>
      </c>
    </row>
    <row r="42" spans="1:8" x14ac:dyDescent="0.2">
      <c r="A42" s="34" t="s">
        <v>1414</v>
      </c>
      <c r="C42" s="4" t="s">
        <v>2003</v>
      </c>
      <c r="F42" s="31">
        <v>10523</v>
      </c>
      <c r="G42" s="159">
        <v>10523</v>
      </c>
      <c r="H42" s="166">
        <f t="shared" si="0"/>
        <v>0</v>
      </c>
    </row>
    <row r="43" spans="1:8" x14ac:dyDescent="0.2">
      <c r="A43" s="34" t="s">
        <v>1832</v>
      </c>
      <c r="C43" s="4" t="s">
        <v>933</v>
      </c>
      <c r="F43" s="31">
        <v>10524</v>
      </c>
      <c r="G43" s="159">
        <v>10524</v>
      </c>
      <c r="H43" s="166">
        <f t="shared" si="0"/>
        <v>0</v>
      </c>
    </row>
    <row r="44" spans="1:8" x14ac:dyDescent="0.2">
      <c r="A44" s="34" t="s">
        <v>2022</v>
      </c>
      <c r="C44" s="4" t="s">
        <v>1933</v>
      </c>
      <c r="F44" s="31">
        <v>10525</v>
      </c>
      <c r="G44" s="159">
        <v>10525</v>
      </c>
      <c r="H44" s="166">
        <f t="shared" si="0"/>
        <v>0</v>
      </c>
    </row>
    <row r="45" spans="1:8" x14ac:dyDescent="0.2">
      <c r="A45" s="34" t="s">
        <v>2023</v>
      </c>
      <c r="C45" s="4" t="s">
        <v>1731</v>
      </c>
      <c r="F45" s="31">
        <v>10535</v>
      </c>
      <c r="G45" s="159">
        <v>10535</v>
      </c>
      <c r="H45" s="166">
        <f t="shared" si="0"/>
        <v>0</v>
      </c>
    </row>
    <row r="46" spans="1:8" x14ac:dyDescent="0.2">
      <c r="A46" s="34" t="s">
        <v>2024</v>
      </c>
      <c r="C46" s="4" t="s">
        <v>1019</v>
      </c>
      <c r="F46" s="31">
        <v>10537</v>
      </c>
      <c r="G46" s="159">
        <v>10537</v>
      </c>
      <c r="H46" s="166">
        <f t="shared" si="0"/>
        <v>0</v>
      </c>
    </row>
    <row r="47" spans="1:8" x14ac:dyDescent="0.2">
      <c r="A47" s="34" t="s">
        <v>917</v>
      </c>
      <c r="C47" s="4" t="s">
        <v>1021</v>
      </c>
      <c r="F47" s="31">
        <v>10545</v>
      </c>
      <c r="G47" s="159">
        <v>10545</v>
      </c>
      <c r="H47" s="166">
        <f t="shared" si="0"/>
        <v>0</v>
      </c>
    </row>
    <row r="48" spans="1:8" x14ac:dyDescent="0.2">
      <c r="A48" s="34" t="s">
        <v>1856</v>
      </c>
      <c r="C48" s="4" t="s">
        <v>1023</v>
      </c>
      <c r="F48" s="31">
        <v>10546</v>
      </c>
      <c r="G48" s="159">
        <v>10546</v>
      </c>
      <c r="H48" s="166">
        <f t="shared" si="0"/>
        <v>0</v>
      </c>
    </row>
    <row r="49" spans="1:8" x14ac:dyDescent="0.2">
      <c r="A49" s="34" t="s">
        <v>1741</v>
      </c>
      <c r="C49" s="4" t="s">
        <v>1027</v>
      </c>
      <c r="F49" s="31">
        <v>10550</v>
      </c>
      <c r="G49" s="159">
        <v>10550</v>
      </c>
      <c r="H49" s="166">
        <f t="shared" si="0"/>
        <v>0</v>
      </c>
    </row>
    <row r="50" spans="1:8" x14ac:dyDescent="0.2">
      <c r="A50" s="34" t="s">
        <v>2025</v>
      </c>
      <c r="C50" s="4" t="s">
        <v>1025</v>
      </c>
      <c r="F50" s="31">
        <v>10552</v>
      </c>
      <c r="G50" s="159">
        <v>10552</v>
      </c>
      <c r="H50" s="166">
        <f t="shared" si="0"/>
        <v>0</v>
      </c>
    </row>
    <row r="51" spans="1:8" x14ac:dyDescent="0.2">
      <c r="A51" s="34" t="s">
        <v>2026</v>
      </c>
      <c r="C51" s="4" t="s">
        <v>1842</v>
      </c>
      <c r="F51" s="31">
        <v>10553</v>
      </c>
      <c r="G51" s="159">
        <v>10553</v>
      </c>
      <c r="H51" s="166">
        <f t="shared" si="0"/>
        <v>0</v>
      </c>
    </row>
    <row r="52" spans="1:8" x14ac:dyDescent="0.2">
      <c r="A52" s="34" t="s">
        <v>2027</v>
      </c>
      <c r="C52" s="4" t="s">
        <v>1029</v>
      </c>
      <c r="F52" s="31">
        <v>10555</v>
      </c>
      <c r="G52" s="159">
        <v>10555</v>
      </c>
      <c r="H52" s="166">
        <f t="shared" si="0"/>
        <v>0</v>
      </c>
    </row>
    <row r="53" spans="1:8" x14ac:dyDescent="0.2">
      <c r="A53" s="34" t="s">
        <v>1743</v>
      </c>
      <c r="C53" s="4" t="s">
        <v>1031</v>
      </c>
      <c r="F53" s="31">
        <v>10600</v>
      </c>
      <c r="G53" s="159">
        <v>10600</v>
      </c>
      <c r="H53" s="166">
        <f t="shared" si="0"/>
        <v>0</v>
      </c>
    </row>
    <row r="54" spans="1:8" x14ac:dyDescent="0.2">
      <c r="A54" s="250" t="s">
        <v>2028</v>
      </c>
      <c r="C54" s="4" t="s">
        <v>1033</v>
      </c>
      <c r="F54" s="31">
        <v>10605</v>
      </c>
      <c r="G54" s="159">
        <v>10605</v>
      </c>
      <c r="H54" s="166">
        <f t="shared" si="0"/>
        <v>0</v>
      </c>
    </row>
    <row r="55" spans="1:8" x14ac:dyDescent="0.2">
      <c r="A55" s="32" t="s">
        <v>992</v>
      </c>
      <c r="C55" s="4" t="s">
        <v>1035</v>
      </c>
      <c r="F55" s="31">
        <v>10592</v>
      </c>
      <c r="G55" s="159">
        <v>10592</v>
      </c>
      <c r="H55" s="166">
        <f t="shared" si="0"/>
        <v>0</v>
      </c>
    </row>
    <row r="56" spans="1:8" x14ac:dyDescent="0.2">
      <c r="A56" s="34" t="s">
        <v>1859</v>
      </c>
      <c r="C56" s="4" t="s">
        <v>1037</v>
      </c>
      <c r="F56" s="31">
        <v>10589</v>
      </c>
      <c r="G56" s="159">
        <v>10589</v>
      </c>
      <c r="H56" s="166">
        <f t="shared" si="0"/>
        <v>0</v>
      </c>
    </row>
    <row r="57" spans="1:8" x14ac:dyDescent="0.2">
      <c r="A57" s="34" t="s">
        <v>2029</v>
      </c>
      <c r="C57" s="4" t="s">
        <v>1739</v>
      </c>
      <c r="F57" s="31">
        <v>10570</v>
      </c>
      <c r="G57" s="159">
        <v>10570</v>
      </c>
      <c r="H57" s="166">
        <f t="shared" si="0"/>
        <v>0</v>
      </c>
    </row>
    <row r="58" spans="1:8" x14ac:dyDescent="0.2">
      <c r="A58" s="34" t="s">
        <v>2030</v>
      </c>
      <c r="C58" s="4" t="s">
        <v>2031</v>
      </c>
      <c r="F58" s="31">
        <v>10580</v>
      </c>
      <c r="G58" s="159">
        <v>10580</v>
      </c>
      <c r="H58" s="166">
        <f t="shared" si="0"/>
        <v>0</v>
      </c>
    </row>
    <row r="59" spans="1:8" x14ac:dyDescent="0.2">
      <c r="A59" s="34" t="s">
        <v>947</v>
      </c>
      <c r="C59" s="4" t="s">
        <v>1753</v>
      </c>
      <c r="F59" s="31">
        <v>10581</v>
      </c>
      <c r="G59" s="159">
        <v>10581</v>
      </c>
      <c r="H59" s="166">
        <f t="shared" si="0"/>
        <v>0</v>
      </c>
    </row>
    <row r="60" spans="1:8" x14ac:dyDescent="0.2">
      <c r="A60" s="34" t="s">
        <v>899</v>
      </c>
      <c r="C60" s="4" t="s">
        <v>2021</v>
      </c>
      <c r="F60" s="31">
        <v>10582</v>
      </c>
      <c r="G60" s="159">
        <v>10582</v>
      </c>
      <c r="H60" s="166">
        <f t="shared" si="0"/>
        <v>0</v>
      </c>
    </row>
    <row r="61" spans="1:8" x14ac:dyDescent="0.2">
      <c r="A61" s="34" t="s">
        <v>2032</v>
      </c>
      <c r="C61" s="4" t="s">
        <v>1737</v>
      </c>
      <c r="F61" s="31">
        <v>10583</v>
      </c>
      <c r="G61" s="159">
        <v>10583</v>
      </c>
      <c r="H61" s="166">
        <f t="shared" si="0"/>
        <v>0</v>
      </c>
    </row>
    <row r="62" spans="1:8" x14ac:dyDescent="0.2">
      <c r="A62" s="34" t="s">
        <v>952</v>
      </c>
      <c r="C62" s="4" t="s">
        <v>1414</v>
      </c>
      <c r="F62" s="31">
        <v>10599</v>
      </c>
      <c r="G62" s="159">
        <v>10599</v>
      </c>
      <c r="H62" s="166">
        <f t="shared" si="0"/>
        <v>0</v>
      </c>
    </row>
    <row r="63" spans="1:8" x14ac:dyDescent="0.2">
      <c r="A63" s="34" t="s">
        <v>964</v>
      </c>
      <c r="C63" s="4" t="s">
        <v>1748</v>
      </c>
      <c r="F63" s="31"/>
      <c r="G63" s="159"/>
      <c r="H63" s="166">
        <f t="shared" si="0"/>
        <v>0</v>
      </c>
    </row>
    <row r="64" spans="1:8" x14ac:dyDescent="0.2">
      <c r="A64" s="34" t="s">
        <v>2033</v>
      </c>
      <c r="C64" s="4" t="s">
        <v>1832</v>
      </c>
      <c r="F64" s="31">
        <v>10610</v>
      </c>
      <c r="G64" s="159">
        <v>10610</v>
      </c>
      <c r="H64" s="166">
        <f t="shared" si="0"/>
        <v>0</v>
      </c>
    </row>
    <row r="65" spans="1:8" x14ac:dyDescent="0.2">
      <c r="A65" s="34" t="s">
        <v>969</v>
      </c>
      <c r="C65" s="4" t="s">
        <v>2022</v>
      </c>
      <c r="F65" s="31">
        <v>10612</v>
      </c>
      <c r="G65" s="159">
        <v>10612</v>
      </c>
      <c r="H65" s="166">
        <f t="shared" si="0"/>
        <v>0</v>
      </c>
    </row>
    <row r="66" spans="1:8" x14ac:dyDescent="0.2">
      <c r="A66" s="34" t="s">
        <v>911</v>
      </c>
      <c r="C66" s="4" t="s">
        <v>2023</v>
      </c>
      <c r="F66" s="31">
        <v>10620</v>
      </c>
      <c r="G66" s="159">
        <v>10620</v>
      </c>
      <c r="H66" s="166">
        <f t="shared" ref="H66:H129" si="1">F66-G66</f>
        <v>0</v>
      </c>
    </row>
    <row r="67" spans="1:8" x14ac:dyDescent="0.2">
      <c r="A67" s="250" t="s">
        <v>2034</v>
      </c>
      <c r="C67" s="4" t="s">
        <v>2024</v>
      </c>
      <c r="F67" s="31">
        <v>10622</v>
      </c>
      <c r="G67" s="159">
        <v>10622</v>
      </c>
      <c r="H67" s="166">
        <f t="shared" si="1"/>
        <v>0</v>
      </c>
    </row>
    <row r="68" spans="1:8" x14ac:dyDescent="0.2">
      <c r="A68" s="4" t="s">
        <v>2035</v>
      </c>
      <c r="C68" s="4" t="s">
        <v>917</v>
      </c>
      <c r="F68" s="31">
        <v>10630</v>
      </c>
      <c r="G68" s="159">
        <v>10630</v>
      </c>
      <c r="H68" s="166">
        <f t="shared" si="1"/>
        <v>0</v>
      </c>
    </row>
    <row r="69" spans="1:8" x14ac:dyDescent="0.2">
      <c r="A69" s="250" t="s">
        <v>1836</v>
      </c>
      <c r="C69" s="4" t="s">
        <v>2036</v>
      </c>
      <c r="F69" s="31">
        <v>10640</v>
      </c>
      <c r="G69" s="159">
        <v>10640</v>
      </c>
      <c r="H69" s="166">
        <f t="shared" si="1"/>
        <v>0</v>
      </c>
    </row>
    <row r="70" spans="1:8" x14ac:dyDescent="0.2">
      <c r="A70" s="250" t="s">
        <v>935</v>
      </c>
      <c r="C70" s="4" t="s">
        <v>1856</v>
      </c>
      <c r="F70" s="31">
        <v>10645</v>
      </c>
      <c r="G70" s="159">
        <v>10645</v>
      </c>
      <c r="H70" s="166">
        <f t="shared" si="1"/>
        <v>0</v>
      </c>
    </row>
    <row r="71" spans="1:8" x14ac:dyDescent="0.2">
      <c r="A71" s="34" t="s">
        <v>1761</v>
      </c>
      <c r="C71" s="4" t="s">
        <v>2037</v>
      </c>
      <c r="F71" s="31"/>
      <c r="G71" s="159"/>
      <c r="H71" s="166">
        <f t="shared" si="1"/>
        <v>0</v>
      </c>
    </row>
    <row r="72" spans="1:8" x14ac:dyDescent="0.2">
      <c r="A72" s="34" t="s">
        <v>1668</v>
      </c>
      <c r="C72" s="4" t="s">
        <v>2038</v>
      </c>
      <c r="F72" s="31"/>
      <c r="G72" s="159"/>
      <c r="H72" s="166">
        <f t="shared" si="1"/>
        <v>0</v>
      </c>
    </row>
    <row r="73" spans="1:8" x14ac:dyDescent="0.2">
      <c r="A73" s="34" t="s">
        <v>1670</v>
      </c>
      <c r="C73" s="4" t="s">
        <v>1741</v>
      </c>
      <c r="F73" s="31">
        <v>10405</v>
      </c>
      <c r="G73" s="159">
        <v>10405</v>
      </c>
      <c r="H73" s="166">
        <f t="shared" si="1"/>
        <v>0</v>
      </c>
    </row>
    <row r="74" spans="1:8" x14ac:dyDescent="0.2">
      <c r="A74" s="34" t="s">
        <v>1672</v>
      </c>
      <c r="C74" s="4" t="s">
        <v>2025</v>
      </c>
      <c r="F74" s="31">
        <v>10406</v>
      </c>
      <c r="G74" s="159">
        <v>10406</v>
      </c>
      <c r="H74" s="166">
        <f t="shared" si="1"/>
        <v>0</v>
      </c>
    </row>
    <row r="75" spans="1:8" x14ac:dyDescent="0.2">
      <c r="A75" s="34" t="s">
        <v>1772</v>
      </c>
      <c r="C75" s="4" t="s">
        <v>2026</v>
      </c>
      <c r="F75" s="29">
        <v>10425</v>
      </c>
      <c r="G75" s="159">
        <v>10425</v>
      </c>
      <c r="H75" s="166">
        <f t="shared" si="1"/>
        <v>0</v>
      </c>
    </row>
    <row r="76" spans="1:8" x14ac:dyDescent="0.2">
      <c r="A76" s="34" t="s">
        <v>976</v>
      </c>
      <c r="C76" s="4" t="s">
        <v>2027</v>
      </c>
      <c r="F76" s="31">
        <v>10430</v>
      </c>
      <c r="G76" s="159">
        <v>10430</v>
      </c>
      <c r="H76" s="166">
        <f t="shared" si="1"/>
        <v>0</v>
      </c>
    </row>
    <row r="77" spans="1:8" x14ac:dyDescent="0.2">
      <c r="A77" s="34" t="s">
        <v>978</v>
      </c>
      <c r="C77" s="4" t="s">
        <v>1743</v>
      </c>
      <c r="F77" s="31">
        <v>10442</v>
      </c>
      <c r="G77" s="159">
        <v>10442</v>
      </c>
      <c r="H77" s="166">
        <f t="shared" si="1"/>
        <v>0</v>
      </c>
    </row>
    <row r="78" spans="1:8" x14ac:dyDescent="0.2">
      <c r="A78" s="34" t="s">
        <v>729</v>
      </c>
      <c r="C78" s="4" t="s">
        <v>2028</v>
      </c>
      <c r="F78" s="31">
        <v>10440</v>
      </c>
      <c r="G78" s="159">
        <v>10440</v>
      </c>
      <c r="H78" s="166">
        <f t="shared" si="1"/>
        <v>0</v>
      </c>
    </row>
    <row r="79" spans="1:8" x14ac:dyDescent="0.2">
      <c r="A79" s="34" t="s">
        <v>1042</v>
      </c>
      <c r="C79" s="4" t="s">
        <v>1412</v>
      </c>
      <c r="F79" s="31">
        <v>10450</v>
      </c>
      <c r="G79" s="159">
        <v>10450</v>
      </c>
      <c r="H79" s="166">
        <f t="shared" si="1"/>
        <v>0</v>
      </c>
    </row>
    <row r="80" spans="1:8" x14ac:dyDescent="0.2">
      <c r="A80" s="250" t="s">
        <v>1676</v>
      </c>
      <c r="C80" s="4" t="s">
        <v>992</v>
      </c>
      <c r="F80" s="31">
        <v>10470</v>
      </c>
      <c r="G80" s="159">
        <v>10470</v>
      </c>
      <c r="H80" s="166">
        <f t="shared" si="1"/>
        <v>0</v>
      </c>
    </row>
    <row r="81" spans="1:8" x14ac:dyDescent="0.2">
      <c r="A81" s="34" t="s">
        <v>905</v>
      </c>
      <c r="C81" s="4" t="s">
        <v>1859</v>
      </c>
      <c r="F81" s="31"/>
      <c r="G81" s="159"/>
      <c r="H81" s="166">
        <f t="shared" si="1"/>
        <v>0</v>
      </c>
    </row>
    <row r="82" spans="1:8" x14ac:dyDescent="0.2">
      <c r="A82" s="34" t="s">
        <v>1769</v>
      </c>
      <c r="C82" s="4" t="s">
        <v>2029</v>
      </c>
      <c r="F82" s="31">
        <v>10415</v>
      </c>
      <c r="G82" s="159">
        <v>10415</v>
      </c>
      <c r="H82" s="166">
        <f t="shared" si="1"/>
        <v>0</v>
      </c>
    </row>
    <row r="83" spans="1:8" x14ac:dyDescent="0.2">
      <c r="A83" s="34" t="s">
        <v>1797</v>
      </c>
      <c r="C83" s="4" t="s">
        <v>2030</v>
      </c>
      <c r="F83" s="31"/>
      <c r="G83" s="159"/>
      <c r="H83" s="166">
        <f t="shared" si="1"/>
        <v>0</v>
      </c>
    </row>
    <row r="84" spans="1:8" x14ac:dyDescent="0.2">
      <c r="A84" s="250" t="s">
        <v>2039</v>
      </c>
      <c r="C84" s="4" t="s">
        <v>947</v>
      </c>
      <c r="F84" s="31" t="s">
        <v>86</v>
      </c>
      <c r="G84" s="159" t="s">
        <v>86</v>
      </c>
      <c r="H84" s="166" t="e">
        <f t="shared" si="1"/>
        <v>#VALUE!</v>
      </c>
    </row>
    <row r="85" spans="1:8" x14ac:dyDescent="0.2">
      <c r="A85" s="250" t="s">
        <v>2040</v>
      </c>
      <c r="C85" s="4" t="s">
        <v>950</v>
      </c>
      <c r="F85" s="31">
        <v>13100</v>
      </c>
      <c r="G85" s="159">
        <v>13100</v>
      </c>
      <c r="H85" s="166">
        <f t="shared" si="1"/>
        <v>0</v>
      </c>
    </row>
    <row r="86" spans="1:8" x14ac:dyDescent="0.2">
      <c r="A86" s="250" t="s">
        <v>2041</v>
      </c>
      <c r="C86" s="4" t="s">
        <v>899</v>
      </c>
      <c r="F86" s="31">
        <v>13105</v>
      </c>
      <c r="G86" s="159">
        <v>13105</v>
      </c>
      <c r="H86" s="166">
        <f t="shared" si="1"/>
        <v>0</v>
      </c>
    </row>
    <row r="87" spans="1:8" x14ac:dyDescent="0.2">
      <c r="A87" s="250" t="s">
        <v>1784</v>
      </c>
      <c r="C87" s="4" t="s">
        <v>2032</v>
      </c>
      <c r="F87" s="31">
        <v>13110</v>
      </c>
      <c r="G87" s="159">
        <v>13110</v>
      </c>
      <c r="H87" s="166">
        <f t="shared" si="1"/>
        <v>0</v>
      </c>
    </row>
    <row r="88" spans="1:8" x14ac:dyDescent="0.2">
      <c r="A88" s="250" t="s">
        <v>2042</v>
      </c>
      <c r="C88" s="4" t="s">
        <v>952</v>
      </c>
      <c r="F88" s="31">
        <v>13120</v>
      </c>
      <c r="G88" s="159">
        <v>13120</v>
      </c>
      <c r="H88" s="166">
        <f t="shared" si="1"/>
        <v>0</v>
      </c>
    </row>
    <row r="89" spans="1:8" x14ac:dyDescent="0.2">
      <c r="A89" s="250" t="s">
        <v>2043</v>
      </c>
      <c r="C89" s="4" t="s">
        <v>964</v>
      </c>
      <c r="F89" s="31">
        <v>13125</v>
      </c>
      <c r="G89" s="159">
        <v>13125</v>
      </c>
      <c r="H89" s="166">
        <f t="shared" si="1"/>
        <v>0</v>
      </c>
    </row>
    <row r="90" spans="1:8" x14ac:dyDescent="0.2">
      <c r="A90" s="250" t="s">
        <v>1787</v>
      </c>
      <c r="C90" s="4" t="s">
        <v>956</v>
      </c>
      <c r="F90" s="29">
        <v>13127</v>
      </c>
      <c r="G90" s="159">
        <v>13127</v>
      </c>
      <c r="H90" s="166">
        <f t="shared" si="1"/>
        <v>0</v>
      </c>
    </row>
    <row r="91" spans="1:8" x14ac:dyDescent="0.2">
      <c r="A91" s="250" t="s">
        <v>1847</v>
      </c>
      <c r="C91" s="4" t="s">
        <v>954</v>
      </c>
      <c r="F91" s="31">
        <v>13143</v>
      </c>
      <c r="G91" s="159">
        <v>13143</v>
      </c>
      <c r="H91" s="166">
        <f t="shared" si="1"/>
        <v>0</v>
      </c>
    </row>
    <row r="92" spans="1:8" x14ac:dyDescent="0.2">
      <c r="A92" s="32" t="s">
        <v>1805</v>
      </c>
      <c r="C92" s="4" t="s">
        <v>2033</v>
      </c>
      <c r="F92" s="31"/>
      <c r="G92" s="159"/>
      <c r="H92" s="166">
        <f t="shared" si="1"/>
        <v>0</v>
      </c>
    </row>
    <row r="93" spans="1:8" x14ac:dyDescent="0.2">
      <c r="A93" s="32" t="s">
        <v>990</v>
      </c>
      <c r="C93" s="4" t="s">
        <v>969</v>
      </c>
      <c r="F93" s="31"/>
      <c r="G93" s="159"/>
      <c r="H93" s="166">
        <f t="shared" si="1"/>
        <v>0</v>
      </c>
    </row>
    <row r="94" spans="1:8" x14ac:dyDescent="0.2">
      <c r="A94" s="32" t="s">
        <v>1868</v>
      </c>
      <c r="C94" s="4" t="s">
        <v>911</v>
      </c>
      <c r="F94" s="31"/>
      <c r="G94" s="159"/>
      <c r="H94" s="166">
        <f t="shared" si="1"/>
        <v>0</v>
      </c>
    </row>
    <row r="95" spans="1:8" x14ac:dyDescent="0.2">
      <c r="A95" s="32" t="s">
        <v>1813</v>
      </c>
      <c r="C95" s="4" t="s">
        <v>2034</v>
      </c>
      <c r="F95" s="31">
        <v>11010</v>
      </c>
      <c r="G95" s="159">
        <v>11010</v>
      </c>
      <c r="H95" s="166">
        <f t="shared" si="1"/>
        <v>0</v>
      </c>
    </row>
    <row r="96" spans="1:8" x14ac:dyDescent="0.2">
      <c r="A96" s="34" t="s">
        <v>2044</v>
      </c>
      <c r="C96" s="4" t="s">
        <v>2035</v>
      </c>
      <c r="F96" s="31">
        <v>11015</v>
      </c>
      <c r="G96" s="159">
        <v>11015</v>
      </c>
      <c r="H96" s="166">
        <f t="shared" si="1"/>
        <v>0</v>
      </c>
    </row>
    <row r="97" spans="1:8" x14ac:dyDescent="0.2">
      <c r="A97" s="34" t="s">
        <v>2045</v>
      </c>
      <c r="C97" s="4" t="s">
        <v>1836</v>
      </c>
      <c r="F97" s="29">
        <v>11017</v>
      </c>
      <c r="G97" s="159">
        <v>11017</v>
      </c>
      <c r="H97" s="166">
        <f t="shared" si="1"/>
        <v>0</v>
      </c>
    </row>
    <row r="98" spans="1:8" x14ac:dyDescent="0.2">
      <c r="A98" s="251" t="s">
        <v>2046</v>
      </c>
      <c r="C98" s="4" t="s">
        <v>935</v>
      </c>
      <c r="F98" s="31"/>
      <c r="G98" s="159"/>
      <c r="H98" s="166">
        <f t="shared" si="1"/>
        <v>0</v>
      </c>
    </row>
    <row r="99" spans="1:8" x14ac:dyDescent="0.2">
      <c r="A99" s="34" t="s">
        <v>1056</v>
      </c>
      <c r="C99" s="4" t="s">
        <v>1761</v>
      </c>
      <c r="F99" s="31">
        <v>11110</v>
      </c>
      <c r="G99" s="159">
        <v>11110</v>
      </c>
      <c r="H99" s="166">
        <f t="shared" si="1"/>
        <v>0</v>
      </c>
    </row>
    <row r="100" spans="1:8" x14ac:dyDescent="0.2">
      <c r="A100" s="250" t="s">
        <v>1948</v>
      </c>
      <c r="C100" s="4" t="s">
        <v>1668</v>
      </c>
      <c r="F100" s="31">
        <v>11120</v>
      </c>
      <c r="G100" s="159">
        <v>11120</v>
      </c>
      <c r="H100" s="166">
        <f t="shared" si="1"/>
        <v>0</v>
      </c>
    </row>
    <row r="101" spans="1:8" x14ac:dyDescent="0.2">
      <c r="A101" s="35" t="s">
        <v>1060</v>
      </c>
      <c r="C101" s="4" t="s">
        <v>876</v>
      </c>
      <c r="F101" s="31">
        <v>11130</v>
      </c>
      <c r="G101" s="159">
        <v>11130</v>
      </c>
      <c r="H101" s="166">
        <f t="shared" si="1"/>
        <v>0</v>
      </c>
    </row>
    <row r="102" spans="1:8" x14ac:dyDescent="0.2">
      <c r="A102" s="250" t="s">
        <v>2047</v>
      </c>
      <c r="C102" s="4" t="s">
        <v>878</v>
      </c>
      <c r="F102" s="31">
        <v>11140</v>
      </c>
      <c r="G102" s="159">
        <v>11140</v>
      </c>
      <c r="H102" s="166">
        <f t="shared" si="1"/>
        <v>0</v>
      </c>
    </row>
    <row r="103" spans="1:8" x14ac:dyDescent="0.2">
      <c r="A103" s="250" t="s">
        <v>1062</v>
      </c>
      <c r="C103" s="4" t="s">
        <v>882</v>
      </c>
      <c r="F103" s="31">
        <v>11150</v>
      </c>
      <c r="G103" s="159">
        <v>11150</v>
      </c>
      <c r="H103" s="166">
        <f t="shared" si="1"/>
        <v>0</v>
      </c>
    </row>
    <row r="104" spans="1:8" x14ac:dyDescent="0.2">
      <c r="A104" s="250" t="s">
        <v>1926</v>
      </c>
      <c r="C104" s="4" t="s">
        <v>884</v>
      </c>
      <c r="F104" s="31">
        <v>11170</v>
      </c>
      <c r="G104" s="159">
        <v>11170</v>
      </c>
      <c r="H104" s="166">
        <f t="shared" si="1"/>
        <v>0</v>
      </c>
    </row>
    <row r="105" spans="1:8" x14ac:dyDescent="0.2">
      <c r="A105" s="34" t="s">
        <v>1930</v>
      </c>
      <c r="C105" s="4" t="s">
        <v>400</v>
      </c>
      <c r="F105" s="31">
        <v>11180</v>
      </c>
      <c r="G105" s="159">
        <v>11180</v>
      </c>
      <c r="H105" s="166">
        <f t="shared" si="1"/>
        <v>0</v>
      </c>
    </row>
    <row r="106" spans="1:8" x14ac:dyDescent="0.2">
      <c r="A106" s="250" t="s">
        <v>1935</v>
      </c>
      <c r="C106" s="4" t="s">
        <v>402</v>
      </c>
      <c r="F106" s="31">
        <v>11200</v>
      </c>
      <c r="G106" s="159">
        <v>11200</v>
      </c>
      <c r="H106" s="166">
        <f t="shared" si="1"/>
        <v>0</v>
      </c>
    </row>
    <row r="107" spans="1:8" x14ac:dyDescent="0.2">
      <c r="A107" s="250" t="s">
        <v>996</v>
      </c>
      <c r="C107" s="4" t="s">
        <v>408</v>
      </c>
      <c r="F107" s="31">
        <v>11210</v>
      </c>
      <c r="G107" s="159">
        <v>11210</v>
      </c>
      <c r="H107" s="166">
        <f t="shared" si="1"/>
        <v>0</v>
      </c>
    </row>
    <row r="108" spans="1:8" x14ac:dyDescent="0.2">
      <c r="A108" s="250" t="s">
        <v>1938</v>
      </c>
      <c r="C108" s="4" t="s">
        <v>412</v>
      </c>
      <c r="F108" s="29">
        <v>11213</v>
      </c>
      <c r="G108" s="159">
        <v>11213</v>
      </c>
      <c r="H108" s="166">
        <f t="shared" si="1"/>
        <v>0</v>
      </c>
    </row>
    <row r="109" spans="1:8" x14ac:dyDescent="0.2">
      <c r="A109" s="250" t="s">
        <v>1956</v>
      </c>
      <c r="C109" s="4" t="s">
        <v>418</v>
      </c>
      <c r="F109" s="31">
        <v>11215</v>
      </c>
      <c r="G109" s="159">
        <v>11215</v>
      </c>
      <c r="H109" s="166">
        <f t="shared" si="1"/>
        <v>0</v>
      </c>
    </row>
    <row r="110" spans="1:8" x14ac:dyDescent="0.2">
      <c r="A110" s="250" t="s">
        <v>1940</v>
      </c>
      <c r="C110" s="4" t="s">
        <v>1670</v>
      </c>
      <c r="F110" s="29">
        <v>11216</v>
      </c>
      <c r="G110" s="159">
        <v>11216</v>
      </c>
      <c r="H110" s="166">
        <f t="shared" si="1"/>
        <v>0</v>
      </c>
    </row>
    <row r="111" spans="1:8" x14ac:dyDescent="0.2">
      <c r="A111" s="250" t="s">
        <v>1942</v>
      </c>
      <c r="C111" s="4" t="s">
        <v>420</v>
      </c>
      <c r="F111" s="31">
        <v>11220</v>
      </c>
      <c r="G111" s="159">
        <v>11220</v>
      </c>
      <c r="H111" s="166">
        <f t="shared" si="1"/>
        <v>0</v>
      </c>
    </row>
    <row r="112" spans="1:8" x14ac:dyDescent="0.2">
      <c r="A112" s="34" t="s">
        <v>1951</v>
      </c>
      <c r="C112" s="4" t="s">
        <v>426</v>
      </c>
      <c r="F112" s="29">
        <v>11225</v>
      </c>
      <c r="G112" s="159">
        <v>11225</v>
      </c>
      <c r="H112" s="166">
        <f t="shared" si="1"/>
        <v>0</v>
      </c>
    </row>
    <row r="113" spans="1:8" x14ac:dyDescent="0.2">
      <c r="A113" s="250" t="s">
        <v>1953</v>
      </c>
      <c r="C113" s="4" t="s">
        <v>434</v>
      </c>
      <c r="F113" s="31">
        <v>11230</v>
      </c>
      <c r="G113" s="159">
        <v>11230</v>
      </c>
      <c r="H113" s="166">
        <f t="shared" si="1"/>
        <v>0</v>
      </c>
    </row>
    <row r="114" spans="1:8" x14ac:dyDescent="0.2">
      <c r="A114" s="250" t="s">
        <v>1912</v>
      </c>
      <c r="C114" s="4" t="s">
        <v>438</v>
      </c>
      <c r="F114" s="29"/>
      <c r="G114" s="159"/>
      <c r="H114" s="166">
        <f t="shared" si="1"/>
        <v>0</v>
      </c>
    </row>
    <row r="115" spans="1:8" x14ac:dyDescent="0.2">
      <c r="A115" s="250" t="s">
        <v>1914</v>
      </c>
      <c r="C115" s="4" t="s">
        <v>436</v>
      </c>
      <c r="F115" s="31">
        <v>11260</v>
      </c>
      <c r="G115" s="159">
        <v>11260</v>
      </c>
      <c r="H115" s="166">
        <f t="shared" si="1"/>
        <v>0</v>
      </c>
    </row>
    <row r="116" spans="1:8" x14ac:dyDescent="0.2">
      <c r="A116" s="250" t="s">
        <v>2048</v>
      </c>
      <c r="C116" s="4" t="s">
        <v>446</v>
      </c>
      <c r="F116" s="31"/>
      <c r="G116" s="159"/>
      <c r="H116" s="166">
        <f t="shared" si="1"/>
        <v>0</v>
      </c>
    </row>
    <row r="117" spans="1:8" x14ac:dyDescent="0.2">
      <c r="A117" s="250" t="s">
        <v>2049</v>
      </c>
      <c r="C117" s="4" t="s">
        <v>448</v>
      </c>
      <c r="F117" s="31"/>
      <c r="G117" s="159"/>
      <c r="H117" s="166">
        <f t="shared" si="1"/>
        <v>0</v>
      </c>
    </row>
    <row r="118" spans="1:8" x14ac:dyDescent="0.2">
      <c r="A118" s="250" t="s">
        <v>2050</v>
      </c>
      <c r="C118" s="4" t="s">
        <v>454</v>
      </c>
      <c r="F118" s="31">
        <v>11410</v>
      </c>
      <c r="G118" s="159">
        <v>11410</v>
      </c>
      <c r="H118" s="166">
        <f t="shared" si="1"/>
        <v>0</v>
      </c>
    </row>
    <row r="119" spans="1:8" x14ac:dyDescent="0.2">
      <c r="A119" s="250" t="s">
        <v>2051</v>
      </c>
      <c r="C119" s="4" t="s">
        <v>452</v>
      </c>
      <c r="F119" s="29">
        <v>11435</v>
      </c>
      <c r="G119" s="159">
        <v>11435</v>
      </c>
      <c r="H119" s="166">
        <f t="shared" si="1"/>
        <v>0</v>
      </c>
    </row>
    <row r="120" spans="1:8" x14ac:dyDescent="0.2">
      <c r="A120" s="250" t="s">
        <v>1069</v>
      </c>
      <c r="C120" s="4" t="s">
        <v>456</v>
      </c>
      <c r="F120" s="29">
        <v>11437</v>
      </c>
      <c r="G120" s="159">
        <v>11437</v>
      </c>
      <c r="H120" s="166">
        <f t="shared" si="1"/>
        <v>0</v>
      </c>
    </row>
    <row r="121" spans="1:8" x14ac:dyDescent="0.2">
      <c r="A121" s="250" t="s">
        <v>1071</v>
      </c>
      <c r="C121" s="4" t="s">
        <v>1672</v>
      </c>
      <c r="F121" s="31">
        <v>11441</v>
      </c>
      <c r="G121" s="159">
        <v>11441</v>
      </c>
      <c r="H121" s="166">
        <f t="shared" si="1"/>
        <v>0</v>
      </c>
    </row>
    <row r="122" spans="1:8" x14ac:dyDescent="0.2">
      <c r="A122" s="250" t="s">
        <v>2052</v>
      </c>
      <c r="C122" s="4" t="s">
        <v>458</v>
      </c>
      <c r="F122" s="31">
        <v>11495</v>
      </c>
      <c r="G122" s="159">
        <v>11495</v>
      </c>
      <c r="H122" s="166">
        <f t="shared" si="1"/>
        <v>0</v>
      </c>
    </row>
    <row r="123" spans="1:8" x14ac:dyDescent="0.2">
      <c r="A123" s="250" t="s">
        <v>2053</v>
      </c>
      <c r="C123" s="4" t="s">
        <v>468</v>
      </c>
      <c r="F123" s="31">
        <v>11500</v>
      </c>
      <c r="G123" s="159">
        <v>11500</v>
      </c>
      <c r="H123" s="166">
        <f t="shared" si="1"/>
        <v>0</v>
      </c>
    </row>
    <row r="124" spans="1:8" x14ac:dyDescent="0.2">
      <c r="A124" s="250" t="s">
        <v>1087</v>
      </c>
      <c r="C124" s="4" t="s">
        <v>478</v>
      </c>
      <c r="F124" s="29">
        <v>11501</v>
      </c>
      <c r="G124" s="159">
        <v>11501</v>
      </c>
      <c r="H124" s="166">
        <f t="shared" si="1"/>
        <v>0</v>
      </c>
    </row>
    <row r="125" spans="1:8" x14ac:dyDescent="0.2">
      <c r="A125" s="250" t="s">
        <v>1089</v>
      </c>
      <c r="C125" s="4" t="s">
        <v>484</v>
      </c>
      <c r="F125" s="29">
        <v>11502</v>
      </c>
      <c r="G125" s="159">
        <v>11502</v>
      </c>
      <c r="H125" s="166">
        <f t="shared" si="1"/>
        <v>0</v>
      </c>
    </row>
    <row r="126" spans="1:8" x14ac:dyDescent="0.2">
      <c r="A126" s="250" t="s">
        <v>1091</v>
      </c>
      <c r="C126" s="4" t="s">
        <v>492</v>
      </c>
      <c r="F126" s="29"/>
      <c r="G126" s="159"/>
      <c r="H126" s="166">
        <f t="shared" si="1"/>
        <v>0</v>
      </c>
    </row>
    <row r="127" spans="1:8" x14ac:dyDescent="0.2">
      <c r="A127" s="250" t="s">
        <v>1093</v>
      </c>
      <c r="C127" s="4" t="s">
        <v>498</v>
      </c>
      <c r="F127" s="29"/>
      <c r="G127" s="159"/>
      <c r="H127" s="166">
        <f t="shared" si="1"/>
        <v>0</v>
      </c>
    </row>
    <row r="128" spans="1:8" x14ac:dyDescent="0.2">
      <c r="A128" s="250" t="s">
        <v>1095</v>
      </c>
      <c r="C128" s="4" t="s">
        <v>500</v>
      </c>
      <c r="F128" s="29"/>
      <c r="G128" s="159"/>
      <c r="H128" s="166">
        <f t="shared" si="1"/>
        <v>0</v>
      </c>
    </row>
    <row r="129" spans="1:8" x14ac:dyDescent="0.2">
      <c r="A129" s="250" t="s">
        <v>1097</v>
      </c>
      <c r="C129" s="4" t="s">
        <v>512</v>
      </c>
      <c r="F129" s="29"/>
      <c r="G129" s="159"/>
      <c r="H129" s="166">
        <f t="shared" si="1"/>
        <v>0</v>
      </c>
    </row>
    <row r="130" spans="1:8" x14ac:dyDescent="0.2">
      <c r="A130" s="250" t="s">
        <v>1109</v>
      </c>
      <c r="C130" s="4" t="s">
        <v>520</v>
      </c>
      <c r="F130" s="29">
        <v>11506</v>
      </c>
      <c r="G130" s="159">
        <v>11506</v>
      </c>
      <c r="H130" s="166">
        <f t="shared" ref="H130:H193" si="2">F130-G130</f>
        <v>0</v>
      </c>
    </row>
    <row r="131" spans="1:8" x14ac:dyDescent="0.2">
      <c r="A131" s="250" t="s">
        <v>1111</v>
      </c>
      <c r="C131" s="4" t="s">
        <v>526</v>
      </c>
      <c r="F131" s="29">
        <v>11507</v>
      </c>
      <c r="G131" s="159">
        <v>11507</v>
      </c>
      <c r="H131" s="166">
        <f t="shared" si="2"/>
        <v>0</v>
      </c>
    </row>
    <row r="132" spans="1:8" x14ac:dyDescent="0.2">
      <c r="A132" s="250" t="s">
        <v>2054</v>
      </c>
      <c r="C132" s="4" t="s">
        <v>1772</v>
      </c>
      <c r="F132" s="29"/>
      <c r="G132" s="159"/>
      <c r="H132" s="166">
        <f t="shared" si="2"/>
        <v>0</v>
      </c>
    </row>
    <row r="133" spans="1:8" x14ac:dyDescent="0.2">
      <c r="A133" s="250" t="s">
        <v>1101</v>
      </c>
      <c r="C133" s="4" t="s">
        <v>530</v>
      </c>
      <c r="F133" s="31"/>
      <c r="G133" s="159"/>
      <c r="H133" s="166">
        <f t="shared" si="2"/>
        <v>0</v>
      </c>
    </row>
    <row r="134" spans="1:8" x14ac:dyDescent="0.2">
      <c r="A134" s="250" t="s">
        <v>1099</v>
      </c>
      <c r="C134" s="4" t="s">
        <v>534</v>
      </c>
      <c r="F134" s="31"/>
      <c r="G134" s="159"/>
      <c r="H134" s="166">
        <f t="shared" si="2"/>
        <v>0</v>
      </c>
    </row>
    <row r="135" spans="1:8" x14ac:dyDescent="0.2">
      <c r="A135" s="250" t="s">
        <v>1103</v>
      </c>
      <c r="C135" s="4" t="s">
        <v>532</v>
      </c>
      <c r="F135" s="31">
        <v>10705</v>
      </c>
      <c r="G135" s="159">
        <v>10705</v>
      </c>
      <c r="H135" s="166">
        <f t="shared" si="2"/>
        <v>0</v>
      </c>
    </row>
    <row r="136" spans="1:8" x14ac:dyDescent="0.2">
      <c r="A136" s="250" t="s">
        <v>1105</v>
      </c>
      <c r="C136" s="4" t="s">
        <v>536</v>
      </c>
      <c r="F136" s="31">
        <v>10706</v>
      </c>
      <c r="G136" s="159">
        <v>10706</v>
      </c>
      <c r="H136" s="166">
        <f t="shared" si="2"/>
        <v>0</v>
      </c>
    </row>
    <row r="137" spans="1:8" x14ac:dyDescent="0.2">
      <c r="A137" s="250" t="s">
        <v>1117</v>
      </c>
      <c r="C137" s="4" t="s">
        <v>794</v>
      </c>
      <c r="F137" s="31">
        <v>10711</v>
      </c>
      <c r="G137" s="159">
        <v>10711</v>
      </c>
      <c r="H137" s="166">
        <f t="shared" si="2"/>
        <v>0</v>
      </c>
    </row>
    <row r="138" spans="1:8" x14ac:dyDescent="0.2">
      <c r="A138" s="250" t="s">
        <v>2055</v>
      </c>
      <c r="C138" s="4" t="s">
        <v>792</v>
      </c>
      <c r="F138" s="29">
        <v>10720</v>
      </c>
      <c r="G138" s="159">
        <v>10720</v>
      </c>
      <c r="H138" s="166">
        <f t="shared" si="2"/>
        <v>0</v>
      </c>
    </row>
    <row r="139" spans="1:8" x14ac:dyDescent="0.2">
      <c r="A139" s="250" t="s">
        <v>2056</v>
      </c>
      <c r="C139" s="4" t="s">
        <v>561</v>
      </c>
      <c r="F139" s="31">
        <v>10721</v>
      </c>
      <c r="G139" s="159">
        <v>10721</v>
      </c>
      <c r="H139" s="166">
        <f t="shared" si="2"/>
        <v>0</v>
      </c>
    </row>
    <row r="140" spans="1:8" x14ac:dyDescent="0.2">
      <c r="A140" s="250" t="s">
        <v>1693</v>
      </c>
      <c r="C140" s="4" t="s">
        <v>559</v>
      </c>
      <c r="F140" s="31">
        <v>10730</v>
      </c>
      <c r="G140" s="159">
        <v>10730</v>
      </c>
      <c r="H140" s="166">
        <f t="shared" si="2"/>
        <v>0</v>
      </c>
    </row>
    <row r="141" spans="1:8" x14ac:dyDescent="0.2">
      <c r="A141" s="250" t="s">
        <v>450</v>
      </c>
      <c r="C141" s="4" t="s">
        <v>573</v>
      </c>
      <c r="F141" s="29">
        <v>10731</v>
      </c>
      <c r="G141" s="159">
        <v>10731</v>
      </c>
      <c r="H141" s="166">
        <f t="shared" si="2"/>
        <v>0</v>
      </c>
    </row>
    <row r="142" spans="1:8" x14ac:dyDescent="0.2">
      <c r="A142" s="250" t="s">
        <v>2057</v>
      </c>
      <c r="C142" s="4" t="s">
        <v>575</v>
      </c>
      <c r="F142" s="31">
        <v>10740</v>
      </c>
      <c r="G142" s="159">
        <v>10740</v>
      </c>
      <c r="H142" s="166">
        <f t="shared" si="2"/>
        <v>0</v>
      </c>
    </row>
    <row r="143" spans="1:8" x14ac:dyDescent="0.2">
      <c r="A143" s="250" t="s">
        <v>1712</v>
      </c>
      <c r="C143" s="4" t="s">
        <v>976</v>
      </c>
      <c r="F143" s="31">
        <v>10745</v>
      </c>
      <c r="G143" s="159">
        <v>10745</v>
      </c>
      <c r="H143" s="166">
        <f t="shared" si="2"/>
        <v>0</v>
      </c>
    </row>
    <row r="144" spans="1:8" x14ac:dyDescent="0.2">
      <c r="A144" s="250" t="s">
        <v>1714</v>
      </c>
      <c r="C144" s="4" t="s">
        <v>579</v>
      </c>
      <c r="F144" s="31">
        <v>10760</v>
      </c>
      <c r="G144" s="159">
        <v>10760</v>
      </c>
      <c r="H144" s="166">
        <f t="shared" si="2"/>
        <v>0</v>
      </c>
    </row>
    <row r="145" spans="1:8" x14ac:dyDescent="0.2">
      <c r="A145" s="250" t="s">
        <v>1723</v>
      </c>
      <c r="C145" s="4" t="s">
        <v>584</v>
      </c>
      <c r="F145" s="31">
        <v>10765</v>
      </c>
      <c r="G145" s="159">
        <v>10765</v>
      </c>
      <c r="H145" s="166">
        <f t="shared" si="2"/>
        <v>0</v>
      </c>
    </row>
    <row r="146" spans="1:8" x14ac:dyDescent="0.2">
      <c r="A146" s="250" t="s">
        <v>2058</v>
      </c>
      <c r="C146" s="4" t="s">
        <v>710</v>
      </c>
      <c r="F146" s="31">
        <v>10781</v>
      </c>
      <c r="G146" s="159">
        <v>10781</v>
      </c>
      <c r="H146" s="166">
        <f t="shared" si="2"/>
        <v>0</v>
      </c>
    </row>
    <row r="147" spans="1:8" x14ac:dyDescent="0.2">
      <c r="A147" s="250" t="s">
        <v>476</v>
      </c>
      <c r="C147" s="4" t="s">
        <v>595</v>
      </c>
      <c r="F147" s="31">
        <v>10785</v>
      </c>
      <c r="G147" s="159">
        <v>10785</v>
      </c>
      <c r="H147" s="166">
        <f t="shared" si="2"/>
        <v>0</v>
      </c>
    </row>
    <row r="148" spans="1:8" x14ac:dyDescent="0.2">
      <c r="A148" s="250" t="s">
        <v>474</v>
      </c>
      <c r="C148" s="4" t="s">
        <v>593</v>
      </c>
      <c r="F148" s="29">
        <v>10787</v>
      </c>
      <c r="G148" s="159">
        <v>10787</v>
      </c>
      <c r="H148" s="166">
        <f t="shared" si="2"/>
        <v>0</v>
      </c>
    </row>
    <row r="149" spans="1:8" x14ac:dyDescent="0.2">
      <c r="A149" s="250" t="s">
        <v>2059</v>
      </c>
      <c r="C149" s="4" t="s">
        <v>609</v>
      </c>
      <c r="F149" s="31">
        <v>10790</v>
      </c>
      <c r="G149" s="159">
        <v>10790</v>
      </c>
      <c r="H149" s="166">
        <f t="shared" si="2"/>
        <v>0</v>
      </c>
    </row>
    <row r="150" spans="1:8" x14ac:dyDescent="0.2">
      <c r="A150" s="250" t="s">
        <v>1755</v>
      </c>
      <c r="C150" s="4" t="s">
        <v>611</v>
      </c>
      <c r="F150" s="31">
        <v>10795</v>
      </c>
      <c r="G150" s="159">
        <v>10795</v>
      </c>
      <c r="H150" s="166">
        <f t="shared" si="2"/>
        <v>0</v>
      </c>
    </row>
    <row r="151" spans="1:8" x14ac:dyDescent="0.2">
      <c r="A151" s="250" t="s">
        <v>2060</v>
      </c>
      <c r="C151" s="4" t="s">
        <v>640</v>
      </c>
      <c r="F151" s="31"/>
      <c r="G151" s="159"/>
      <c r="H151" s="166">
        <f t="shared" si="2"/>
        <v>0</v>
      </c>
    </row>
    <row r="152" spans="1:8" x14ac:dyDescent="0.2">
      <c r="A152" s="250" t="s">
        <v>1764</v>
      </c>
      <c r="C152" s="4" t="s">
        <v>814</v>
      </c>
      <c r="F152" s="31"/>
      <c r="G152" s="159"/>
      <c r="H152" s="166">
        <f t="shared" si="2"/>
        <v>0</v>
      </c>
    </row>
    <row r="153" spans="1:8" x14ac:dyDescent="0.2">
      <c r="A153" s="250" t="s">
        <v>2061</v>
      </c>
      <c r="C153" s="4" t="s">
        <v>646</v>
      </c>
      <c r="F153" s="31">
        <v>10805</v>
      </c>
      <c r="G153" s="159">
        <v>10805</v>
      </c>
      <c r="H153" s="166">
        <f t="shared" si="2"/>
        <v>0</v>
      </c>
    </row>
    <row r="154" spans="1:8" x14ac:dyDescent="0.2">
      <c r="A154" s="250" t="s">
        <v>1085</v>
      </c>
      <c r="C154" s="4" t="s">
        <v>978</v>
      </c>
      <c r="F154" s="29">
        <v>10806</v>
      </c>
      <c r="G154" s="159">
        <v>10806</v>
      </c>
      <c r="H154" s="166">
        <f t="shared" si="2"/>
        <v>0</v>
      </c>
    </row>
    <row r="155" spans="1:8" x14ac:dyDescent="0.2">
      <c r="A155" s="250" t="s">
        <v>2062</v>
      </c>
      <c r="C155" s="4" t="s">
        <v>663</v>
      </c>
      <c r="F155" s="29">
        <v>10810</v>
      </c>
      <c r="G155" s="159">
        <v>10810</v>
      </c>
      <c r="H155" s="166">
        <f t="shared" si="2"/>
        <v>0</v>
      </c>
    </row>
    <row r="156" spans="1:8" x14ac:dyDescent="0.2">
      <c r="A156" s="250" t="s">
        <v>2063</v>
      </c>
      <c r="C156" s="4" t="s">
        <v>669</v>
      </c>
      <c r="F156" s="36">
        <v>10811</v>
      </c>
      <c r="G156" s="159">
        <v>10811</v>
      </c>
      <c r="H156" s="166">
        <f t="shared" si="2"/>
        <v>0</v>
      </c>
    </row>
    <row r="157" spans="1:8" x14ac:dyDescent="0.2">
      <c r="A157" s="34" t="s">
        <v>1791</v>
      </c>
      <c r="C157" s="4" t="s">
        <v>810</v>
      </c>
      <c r="F157" s="31">
        <v>10825</v>
      </c>
      <c r="G157" s="159">
        <v>10825</v>
      </c>
      <c r="H157" s="166">
        <f t="shared" si="2"/>
        <v>0</v>
      </c>
    </row>
    <row r="158" spans="1:8" x14ac:dyDescent="0.2">
      <c r="A158" s="250" t="s">
        <v>2064</v>
      </c>
      <c r="C158" s="4" t="s">
        <v>684</v>
      </c>
      <c r="F158" s="31">
        <v>10830</v>
      </c>
      <c r="G158" s="159">
        <v>10830</v>
      </c>
      <c r="H158" s="166">
        <f t="shared" si="2"/>
        <v>0</v>
      </c>
    </row>
    <row r="159" spans="1:8" x14ac:dyDescent="0.2">
      <c r="A159" s="34" t="s">
        <v>1794</v>
      </c>
      <c r="C159" s="4" t="s">
        <v>790</v>
      </c>
      <c r="F159" s="31">
        <v>10837</v>
      </c>
      <c r="G159" s="159">
        <v>10837</v>
      </c>
      <c r="H159" s="166">
        <f t="shared" si="2"/>
        <v>0</v>
      </c>
    </row>
    <row r="160" spans="1:8" x14ac:dyDescent="0.2">
      <c r="A160" s="250" t="s">
        <v>1145</v>
      </c>
      <c r="C160" s="4" t="s">
        <v>708</v>
      </c>
      <c r="F160" s="31">
        <v>10840</v>
      </c>
      <c r="G160" s="159">
        <v>10840</v>
      </c>
      <c r="H160" s="166">
        <f t="shared" si="2"/>
        <v>0</v>
      </c>
    </row>
    <row r="161" spans="1:8" x14ac:dyDescent="0.2">
      <c r="A161" s="250" t="s">
        <v>1789</v>
      </c>
      <c r="C161" s="4" t="s">
        <v>719</v>
      </c>
      <c r="F161" s="31">
        <v>10841</v>
      </c>
      <c r="G161" s="159">
        <v>10841</v>
      </c>
      <c r="H161" s="166">
        <f t="shared" si="2"/>
        <v>0</v>
      </c>
    </row>
    <row r="162" spans="1:8" x14ac:dyDescent="0.2">
      <c r="A162" s="250" t="s">
        <v>2065</v>
      </c>
      <c r="C162" s="4" t="s">
        <v>737</v>
      </c>
      <c r="F162" s="31">
        <v>10850</v>
      </c>
      <c r="G162" s="159">
        <v>10850</v>
      </c>
      <c r="H162" s="166">
        <f t="shared" si="2"/>
        <v>0</v>
      </c>
    </row>
    <row r="163" spans="1:8" x14ac:dyDescent="0.2">
      <c r="A163" s="250" t="s">
        <v>2066</v>
      </c>
      <c r="C163" s="4" t="s">
        <v>753</v>
      </c>
      <c r="F163" s="31">
        <v>10855</v>
      </c>
      <c r="G163" s="159">
        <v>10855</v>
      </c>
      <c r="H163" s="166">
        <f t="shared" si="2"/>
        <v>0</v>
      </c>
    </row>
    <row r="164" spans="1:8" x14ac:dyDescent="0.2">
      <c r="A164" s="250" t="s">
        <v>2067</v>
      </c>
      <c r="C164" s="4" t="s">
        <v>751</v>
      </c>
      <c r="F164" s="31">
        <v>10865</v>
      </c>
      <c r="G164" s="159">
        <v>10865</v>
      </c>
      <c r="H164" s="166">
        <f t="shared" si="2"/>
        <v>0</v>
      </c>
    </row>
    <row r="165" spans="1:8" x14ac:dyDescent="0.2">
      <c r="A165" s="250" t="s">
        <v>2068</v>
      </c>
      <c r="C165" s="4" t="s">
        <v>729</v>
      </c>
      <c r="F165" s="31">
        <v>10875</v>
      </c>
      <c r="G165" s="159">
        <v>10875</v>
      </c>
      <c r="H165" s="166">
        <f t="shared" si="2"/>
        <v>0</v>
      </c>
    </row>
    <row r="166" spans="1:8" x14ac:dyDescent="0.2">
      <c r="A166" s="250" t="s">
        <v>2069</v>
      </c>
      <c r="C166" s="4" t="s">
        <v>762</v>
      </c>
      <c r="F166" s="31">
        <v>10880</v>
      </c>
      <c r="G166" s="159">
        <v>10880</v>
      </c>
      <c r="H166" s="166">
        <f t="shared" si="2"/>
        <v>0</v>
      </c>
    </row>
    <row r="167" spans="1:8" x14ac:dyDescent="0.2">
      <c r="A167" s="250" t="s">
        <v>2070</v>
      </c>
      <c r="C167" s="4" t="s">
        <v>782</v>
      </c>
      <c r="F167" s="29">
        <v>10886</v>
      </c>
      <c r="G167" s="159">
        <v>10886</v>
      </c>
      <c r="H167" s="166">
        <f t="shared" si="2"/>
        <v>0</v>
      </c>
    </row>
    <row r="168" spans="1:8" x14ac:dyDescent="0.2">
      <c r="A168" s="250" t="s">
        <v>1151</v>
      </c>
      <c r="C168" s="4" t="s">
        <v>788</v>
      </c>
      <c r="F168" s="31">
        <v>10891</v>
      </c>
      <c r="G168" s="159">
        <v>10891</v>
      </c>
      <c r="H168" s="166">
        <f t="shared" si="2"/>
        <v>0</v>
      </c>
    </row>
    <row r="169" spans="1:8" x14ac:dyDescent="0.2">
      <c r="A169" s="250" t="s">
        <v>1153</v>
      </c>
      <c r="C169" s="4" t="s">
        <v>796</v>
      </c>
      <c r="F169" s="31">
        <v>10892</v>
      </c>
      <c r="G169" s="159">
        <v>10892</v>
      </c>
      <c r="H169" s="166">
        <f t="shared" si="2"/>
        <v>0</v>
      </c>
    </row>
    <row r="170" spans="1:8" x14ac:dyDescent="0.2">
      <c r="A170" s="250" t="s">
        <v>2071</v>
      </c>
      <c r="C170" s="4" t="s">
        <v>857</v>
      </c>
      <c r="F170" s="31">
        <v>10895</v>
      </c>
      <c r="G170" s="159">
        <v>10895</v>
      </c>
      <c r="H170" s="166">
        <f t="shared" si="2"/>
        <v>0</v>
      </c>
    </row>
    <row r="171" spans="1:8" x14ac:dyDescent="0.2">
      <c r="A171" s="250" t="s">
        <v>2072</v>
      </c>
      <c r="C171" s="4" t="s">
        <v>784</v>
      </c>
      <c r="F171" s="29">
        <v>10897</v>
      </c>
      <c r="G171" s="159">
        <v>10897</v>
      </c>
      <c r="H171" s="166">
        <f t="shared" si="2"/>
        <v>0</v>
      </c>
    </row>
    <row r="172" spans="1:8" x14ac:dyDescent="0.2">
      <c r="A172" s="250" t="s">
        <v>2073</v>
      </c>
      <c r="C172" s="4" t="s">
        <v>1006</v>
      </c>
      <c r="F172" s="31">
        <v>10900</v>
      </c>
      <c r="G172" s="159">
        <v>10900</v>
      </c>
      <c r="H172" s="166">
        <f t="shared" si="2"/>
        <v>0</v>
      </c>
    </row>
    <row r="173" spans="1:8" x14ac:dyDescent="0.2">
      <c r="A173" s="250" t="s">
        <v>2074</v>
      </c>
      <c r="C173" s="4" t="s">
        <v>1008</v>
      </c>
      <c r="F173" s="31"/>
      <c r="G173" s="159"/>
      <c r="H173" s="166">
        <f t="shared" si="2"/>
        <v>0</v>
      </c>
    </row>
    <row r="174" spans="1:8" x14ac:dyDescent="0.2">
      <c r="A174" s="121" t="s">
        <v>2075</v>
      </c>
      <c r="C174" s="4" t="s">
        <v>1042</v>
      </c>
      <c r="F174" s="31">
        <v>10909</v>
      </c>
      <c r="G174" s="159">
        <v>10909</v>
      </c>
      <c r="H174" s="166">
        <f t="shared" si="2"/>
        <v>0</v>
      </c>
    </row>
    <row r="175" spans="1:8" x14ac:dyDescent="0.2">
      <c r="A175" s="250" t="s">
        <v>2076</v>
      </c>
      <c r="C175" s="4" t="s">
        <v>1010</v>
      </c>
      <c r="F175" s="31">
        <v>10913</v>
      </c>
      <c r="G175" s="159">
        <v>10913</v>
      </c>
      <c r="H175" s="166">
        <f t="shared" si="2"/>
        <v>0</v>
      </c>
    </row>
    <row r="176" spans="1:8" x14ac:dyDescent="0.2">
      <c r="A176" s="250" t="s">
        <v>2077</v>
      </c>
      <c r="C176" s="4" t="s">
        <v>1012</v>
      </c>
      <c r="F176" s="31">
        <v>10725</v>
      </c>
      <c r="G176" s="159">
        <v>10725</v>
      </c>
      <c r="H176" s="166">
        <f t="shared" si="2"/>
        <v>0</v>
      </c>
    </row>
    <row r="177" spans="1:8" x14ac:dyDescent="0.2">
      <c r="A177" s="34" t="s">
        <v>1440</v>
      </c>
      <c r="C177" s="4" t="s">
        <v>930</v>
      </c>
      <c r="F177" s="29">
        <v>10726</v>
      </c>
      <c r="G177" s="159">
        <v>10726</v>
      </c>
      <c r="H177" s="166">
        <f t="shared" si="2"/>
        <v>0</v>
      </c>
    </row>
    <row r="178" spans="1:8" x14ac:dyDescent="0.2">
      <c r="A178" s="34" t="s">
        <v>1442</v>
      </c>
      <c r="C178" s="4" t="s">
        <v>1014</v>
      </c>
      <c r="F178" s="29">
        <v>10727</v>
      </c>
      <c r="G178" s="159">
        <v>10727</v>
      </c>
      <c r="H178" s="166">
        <f t="shared" si="2"/>
        <v>0</v>
      </c>
    </row>
    <row r="179" spans="1:8" x14ac:dyDescent="0.2">
      <c r="A179" s="250" t="s">
        <v>2078</v>
      </c>
      <c r="C179" s="4" t="s">
        <v>915</v>
      </c>
      <c r="F179" s="29">
        <v>10728</v>
      </c>
      <c r="G179" s="159">
        <v>10728</v>
      </c>
      <c r="H179" s="166">
        <f t="shared" si="2"/>
        <v>0</v>
      </c>
    </row>
    <row r="180" spans="1:8" x14ac:dyDescent="0.2">
      <c r="A180" s="250" t="s">
        <v>2079</v>
      </c>
      <c r="C180" s="4" t="s">
        <v>913</v>
      </c>
      <c r="F180" s="31">
        <v>10845</v>
      </c>
      <c r="G180" s="159">
        <v>10845</v>
      </c>
      <c r="H180" s="166">
        <f t="shared" si="2"/>
        <v>0</v>
      </c>
    </row>
    <row r="181" spans="1:8" x14ac:dyDescent="0.2">
      <c r="A181" s="250" t="s">
        <v>1166</v>
      </c>
      <c r="C181" s="4" t="s">
        <v>939</v>
      </c>
      <c r="F181" s="29">
        <v>10847</v>
      </c>
      <c r="G181" s="159">
        <v>10847</v>
      </c>
      <c r="H181" s="166">
        <f t="shared" si="2"/>
        <v>0</v>
      </c>
    </row>
    <row r="182" spans="1:8" x14ac:dyDescent="0.2">
      <c r="A182" s="250" t="s">
        <v>1168</v>
      </c>
      <c r="C182" s="4" t="s">
        <v>937</v>
      </c>
      <c r="F182" s="31"/>
      <c r="G182" s="159"/>
      <c r="H182" s="166">
        <f t="shared" si="2"/>
        <v>0</v>
      </c>
    </row>
    <row r="183" spans="1:8" x14ac:dyDescent="0.2">
      <c r="A183" s="250" t="s">
        <v>1170</v>
      </c>
      <c r="C183" s="4" t="s">
        <v>943</v>
      </c>
      <c r="F183" s="31"/>
      <c r="G183" s="159"/>
      <c r="H183" s="166">
        <f t="shared" si="2"/>
        <v>0</v>
      </c>
    </row>
    <row r="184" spans="1:8" x14ac:dyDescent="0.2">
      <c r="A184" s="250" t="s">
        <v>2080</v>
      </c>
      <c r="C184" s="4" t="s">
        <v>941</v>
      </c>
      <c r="F184" s="31">
        <v>12010</v>
      </c>
      <c r="G184" s="159">
        <v>12010</v>
      </c>
      <c r="H184" s="166">
        <f t="shared" si="2"/>
        <v>0</v>
      </c>
    </row>
    <row r="185" spans="1:8" x14ac:dyDescent="0.2">
      <c r="A185" s="250" t="s">
        <v>1133</v>
      </c>
      <c r="C185" s="4" t="s">
        <v>1676</v>
      </c>
      <c r="F185" s="31">
        <v>12020</v>
      </c>
      <c r="G185" s="159">
        <v>12020</v>
      </c>
      <c r="H185" s="166">
        <f t="shared" si="2"/>
        <v>0</v>
      </c>
    </row>
    <row r="186" spans="1:8" x14ac:dyDescent="0.2">
      <c r="A186" s="250" t="s">
        <v>1162</v>
      </c>
      <c r="C186" s="4" t="s">
        <v>966</v>
      </c>
      <c r="F186" s="31">
        <v>12030</v>
      </c>
      <c r="G186" s="159">
        <v>12030</v>
      </c>
      <c r="H186" s="166">
        <f t="shared" si="2"/>
        <v>0</v>
      </c>
    </row>
    <row r="187" spans="1:8" x14ac:dyDescent="0.2">
      <c r="A187" s="250" t="s">
        <v>1164</v>
      </c>
      <c r="C187" s="4" t="s">
        <v>1052</v>
      </c>
      <c r="F187" s="31">
        <v>12040</v>
      </c>
      <c r="G187" s="159">
        <v>12040</v>
      </c>
      <c r="H187" s="166">
        <f t="shared" si="2"/>
        <v>0</v>
      </c>
    </row>
    <row r="188" spans="1:8" x14ac:dyDescent="0.2">
      <c r="A188" s="32" t="s">
        <v>2081</v>
      </c>
      <c r="C188" s="4" t="s">
        <v>1054</v>
      </c>
      <c r="F188" s="29">
        <v>12045</v>
      </c>
      <c r="G188" s="159">
        <v>12045</v>
      </c>
      <c r="H188" s="166">
        <f t="shared" si="2"/>
        <v>0</v>
      </c>
    </row>
    <row r="189" spans="1:8" x14ac:dyDescent="0.2">
      <c r="A189" s="250" t="s">
        <v>2082</v>
      </c>
      <c r="C189" s="4" t="s">
        <v>903</v>
      </c>
      <c r="F189" s="31"/>
      <c r="G189" s="159"/>
      <c r="H189" s="166">
        <f t="shared" si="2"/>
        <v>0</v>
      </c>
    </row>
    <row r="190" spans="1:8" x14ac:dyDescent="0.2">
      <c r="A190" s="32" t="s">
        <v>2083</v>
      </c>
      <c r="C190" s="4" t="s">
        <v>907</v>
      </c>
      <c r="F190" s="31"/>
      <c r="G190" s="159"/>
      <c r="H190" s="166">
        <f t="shared" si="2"/>
        <v>0</v>
      </c>
    </row>
    <row r="191" spans="1:8" x14ac:dyDescent="0.2">
      <c r="A191" s="32" t="s">
        <v>2084</v>
      </c>
      <c r="C191" s="4" t="s">
        <v>909</v>
      </c>
      <c r="F191" s="31"/>
      <c r="G191" s="159"/>
      <c r="H191" s="166">
        <f t="shared" si="2"/>
        <v>0</v>
      </c>
    </row>
    <row r="192" spans="1:8" x14ac:dyDescent="0.2">
      <c r="A192" s="45" t="s">
        <v>2085</v>
      </c>
      <c r="C192" s="4" t="s">
        <v>1058</v>
      </c>
      <c r="F192" s="31">
        <v>17005</v>
      </c>
      <c r="G192" s="159">
        <v>17005</v>
      </c>
      <c r="H192" s="166">
        <f t="shared" si="2"/>
        <v>0</v>
      </c>
    </row>
    <row r="193" spans="1:8" x14ac:dyDescent="0.2">
      <c r="A193" s="32" t="s">
        <v>2086</v>
      </c>
      <c r="C193" s="4" t="s">
        <v>1064</v>
      </c>
      <c r="F193" s="31">
        <v>17015</v>
      </c>
      <c r="G193" s="159">
        <v>17015</v>
      </c>
      <c r="H193" s="166">
        <f t="shared" si="2"/>
        <v>0</v>
      </c>
    </row>
    <row r="194" spans="1:8" x14ac:dyDescent="0.2">
      <c r="A194" s="32" t="s">
        <v>2087</v>
      </c>
      <c r="C194" s="4" t="s">
        <v>1067</v>
      </c>
      <c r="F194" s="31">
        <v>17060</v>
      </c>
      <c r="G194" s="159">
        <v>17060</v>
      </c>
      <c r="H194" s="166">
        <f t="shared" ref="H194:H257" si="3">F194-G194</f>
        <v>0</v>
      </c>
    </row>
    <row r="195" spans="1:8" x14ac:dyDescent="0.2">
      <c r="A195" s="32" t="s">
        <v>2088</v>
      </c>
      <c r="C195" s="4" t="s">
        <v>972</v>
      </c>
      <c r="F195" s="31">
        <v>17050</v>
      </c>
      <c r="G195" s="159">
        <v>17050</v>
      </c>
      <c r="H195" s="166">
        <f t="shared" si="3"/>
        <v>0</v>
      </c>
    </row>
    <row r="196" spans="1:8" x14ac:dyDescent="0.2">
      <c r="A196" s="250" t="s">
        <v>2089</v>
      </c>
      <c r="C196" s="4" t="s">
        <v>905</v>
      </c>
      <c r="F196" s="31"/>
      <c r="G196" s="159"/>
      <c r="H196" s="166">
        <f t="shared" si="3"/>
        <v>0</v>
      </c>
    </row>
    <row r="197" spans="1:8" x14ac:dyDescent="0.2">
      <c r="A197" s="38" t="s">
        <v>2090</v>
      </c>
      <c r="C197" s="4" t="s">
        <v>982</v>
      </c>
      <c r="F197" s="31">
        <v>17070</v>
      </c>
      <c r="G197" s="159">
        <v>17070</v>
      </c>
      <c r="H197" s="166">
        <f t="shared" si="3"/>
        <v>0</v>
      </c>
    </row>
    <row r="198" spans="1:8" x14ac:dyDescent="0.2">
      <c r="A198" s="250" t="s">
        <v>2091</v>
      </c>
      <c r="C198" s="4" t="s">
        <v>962</v>
      </c>
      <c r="F198" s="31"/>
      <c r="G198" s="159"/>
      <c r="H198" s="166">
        <f t="shared" si="3"/>
        <v>0</v>
      </c>
    </row>
    <row r="199" spans="1:8" x14ac:dyDescent="0.2">
      <c r="A199" s="32" t="s">
        <v>1444</v>
      </c>
      <c r="C199" s="4" t="s">
        <v>960</v>
      </c>
      <c r="F199" s="31">
        <v>17120</v>
      </c>
      <c r="G199" s="159">
        <v>17120</v>
      </c>
      <c r="H199" s="166">
        <f t="shared" si="3"/>
        <v>0</v>
      </c>
    </row>
    <row r="200" spans="1:8" x14ac:dyDescent="0.2">
      <c r="A200" s="250" t="s">
        <v>2092</v>
      </c>
      <c r="C200" s="4" t="s">
        <v>1077</v>
      </c>
      <c r="F200" s="31"/>
      <c r="G200" s="159"/>
      <c r="H200" s="166">
        <f t="shared" si="3"/>
        <v>0</v>
      </c>
    </row>
    <row r="201" spans="1:8" x14ac:dyDescent="0.2">
      <c r="A201" s="39" t="s">
        <v>2093</v>
      </c>
      <c r="C201" s="4" t="s">
        <v>1075</v>
      </c>
      <c r="F201" s="31">
        <v>17105</v>
      </c>
      <c r="G201" s="159">
        <v>17105</v>
      </c>
      <c r="H201" s="166">
        <f t="shared" si="3"/>
        <v>0</v>
      </c>
    </row>
    <row r="202" spans="1:8" x14ac:dyDescent="0.2">
      <c r="A202" s="32" t="s">
        <v>2094</v>
      </c>
      <c r="C202" s="4" t="s">
        <v>1073</v>
      </c>
      <c r="F202" s="31"/>
      <c r="G202" s="159"/>
      <c r="H202" s="166">
        <f t="shared" si="3"/>
        <v>0</v>
      </c>
    </row>
    <row r="203" spans="1:8" x14ac:dyDescent="0.2">
      <c r="A203" s="32" t="s">
        <v>770</v>
      </c>
      <c r="C203" s="4" t="s">
        <v>1079</v>
      </c>
      <c r="F203" s="31">
        <v>17130</v>
      </c>
      <c r="G203" s="159">
        <v>17130</v>
      </c>
      <c r="H203" s="166">
        <f t="shared" si="3"/>
        <v>0</v>
      </c>
    </row>
    <row r="204" spans="1:8" x14ac:dyDescent="0.2">
      <c r="A204" s="32" t="s">
        <v>2095</v>
      </c>
      <c r="C204" s="4" t="s">
        <v>1081</v>
      </c>
      <c r="F204" s="31">
        <v>17135</v>
      </c>
      <c r="G204" s="159">
        <v>17135</v>
      </c>
      <c r="H204" s="166">
        <f t="shared" si="3"/>
        <v>0</v>
      </c>
    </row>
    <row r="205" spans="1:8" x14ac:dyDescent="0.2">
      <c r="A205" s="32" t="s">
        <v>1123</v>
      </c>
      <c r="C205" s="4" t="s">
        <v>1083</v>
      </c>
      <c r="F205" s="31">
        <v>17280</v>
      </c>
      <c r="G205" s="159">
        <v>17280</v>
      </c>
      <c r="H205" s="166">
        <f t="shared" si="3"/>
        <v>0</v>
      </c>
    </row>
    <row r="206" spans="1:8" x14ac:dyDescent="0.2">
      <c r="A206" s="35" t="s">
        <v>1508</v>
      </c>
      <c r="C206" s="4" t="s">
        <v>1769</v>
      </c>
      <c r="F206" s="31">
        <v>17150</v>
      </c>
      <c r="G206" s="159">
        <v>17150</v>
      </c>
      <c r="H206" s="166">
        <f t="shared" si="3"/>
        <v>0</v>
      </c>
    </row>
    <row r="207" spans="1:8" x14ac:dyDescent="0.2">
      <c r="A207" s="250" t="s">
        <v>2096</v>
      </c>
      <c r="C207" s="4" t="s">
        <v>1113</v>
      </c>
      <c r="F207" s="31">
        <v>17170</v>
      </c>
      <c r="G207" s="159">
        <v>17170</v>
      </c>
      <c r="H207" s="166">
        <f t="shared" si="3"/>
        <v>0</v>
      </c>
    </row>
    <row r="208" spans="1:8" x14ac:dyDescent="0.2">
      <c r="A208" s="32" t="s">
        <v>2097</v>
      </c>
      <c r="C208" s="4" t="s">
        <v>1115</v>
      </c>
      <c r="F208" s="31">
        <v>17165</v>
      </c>
      <c r="G208" s="159">
        <v>17165</v>
      </c>
      <c r="H208" s="166">
        <f t="shared" si="3"/>
        <v>0</v>
      </c>
    </row>
    <row r="209" spans="1:8" x14ac:dyDescent="0.2">
      <c r="A209" s="250" t="s">
        <v>2098</v>
      </c>
      <c r="C209" s="4" t="s">
        <v>1119</v>
      </c>
      <c r="F209" s="31">
        <v>17155</v>
      </c>
      <c r="G209" s="159">
        <v>17155</v>
      </c>
      <c r="H209" s="166">
        <f t="shared" si="3"/>
        <v>0</v>
      </c>
    </row>
    <row r="210" spans="1:8" x14ac:dyDescent="0.2">
      <c r="A210" s="32" t="s">
        <v>2099</v>
      </c>
      <c r="C210" s="4" t="s">
        <v>1121</v>
      </c>
      <c r="F210" s="31">
        <v>17260</v>
      </c>
      <c r="G210" s="159">
        <v>17260</v>
      </c>
      <c r="H210" s="166">
        <f t="shared" si="3"/>
        <v>0</v>
      </c>
    </row>
    <row r="211" spans="1:8" x14ac:dyDescent="0.2">
      <c r="A211" s="32" t="s">
        <v>2100</v>
      </c>
      <c r="C211" s="4" t="s">
        <v>1141</v>
      </c>
      <c r="F211" s="31">
        <v>17211</v>
      </c>
      <c r="G211" s="159">
        <v>17211</v>
      </c>
      <c r="H211" s="166">
        <f t="shared" si="3"/>
        <v>0</v>
      </c>
    </row>
    <row r="212" spans="1:8" x14ac:dyDescent="0.2">
      <c r="A212" s="250" t="s">
        <v>2101</v>
      </c>
      <c r="C212" s="4" t="s">
        <v>1143</v>
      </c>
      <c r="F212" s="31">
        <v>17143</v>
      </c>
      <c r="G212" s="159">
        <v>17143</v>
      </c>
      <c r="H212" s="166">
        <f t="shared" si="3"/>
        <v>0</v>
      </c>
    </row>
    <row r="213" spans="1:8" x14ac:dyDescent="0.2">
      <c r="A213" s="32" t="s">
        <v>2102</v>
      </c>
      <c r="C213" s="4" t="s">
        <v>1125</v>
      </c>
      <c r="F213" s="29">
        <v>17190</v>
      </c>
      <c r="G213" s="159">
        <v>17190</v>
      </c>
      <c r="H213" s="166">
        <f t="shared" si="3"/>
        <v>0</v>
      </c>
    </row>
    <row r="214" spans="1:8" x14ac:dyDescent="0.2">
      <c r="A214" s="250" t="s">
        <v>2103</v>
      </c>
      <c r="C214" s="4" t="s">
        <v>1158</v>
      </c>
      <c r="F214" s="29">
        <v>17193</v>
      </c>
      <c r="G214" s="159">
        <v>17193</v>
      </c>
      <c r="H214" s="166">
        <f t="shared" si="3"/>
        <v>0</v>
      </c>
    </row>
    <row r="215" spans="1:8" x14ac:dyDescent="0.2">
      <c r="A215" s="250" t="s">
        <v>2104</v>
      </c>
      <c r="C215" s="4" t="s">
        <v>1131</v>
      </c>
      <c r="F215" s="29">
        <v>17195</v>
      </c>
      <c r="G215" s="159">
        <v>17195</v>
      </c>
      <c r="H215" s="166">
        <f t="shared" si="3"/>
        <v>0</v>
      </c>
    </row>
    <row r="216" spans="1:8" x14ac:dyDescent="0.2">
      <c r="A216" s="32" t="s">
        <v>416</v>
      </c>
      <c r="C216" s="4" t="s">
        <v>921</v>
      </c>
      <c r="F216" s="29">
        <v>17196</v>
      </c>
      <c r="G216" s="159">
        <v>17196</v>
      </c>
      <c r="H216" s="166">
        <f t="shared" si="3"/>
        <v>0</v>
      </c>
    </row>
    <row r="217" spans="1:8" x14ac:dyDescent="0.2">
      <c r="A217" s="32" t="s">
        <v>1127</v>
      </c>
      <c r="C217" s="4" t="s">
        <v>1173</v>
      </c>
      <c r="F217" s="29">
        <v>17197</v>
      </c>
      <c r="G217" s="159">
        <v>17197</v>
      </c>
      <c r="H217" s="166">
        <f t="shared" si="3"/>
        <v>0</v>
      </c>
    </row>
    <row r="218" spans="1:8" x14ac:dyDescent="0.2">
      <c r="A218" s="33" t="s">
        <v>2105</v>
      </c>
      <c r="C218" s="4" t="s">
        <v>1189</v>
      </c>
      <c r="F218" s="29">
        <v>17198</v>
      </c>
      <c r="G218" s="159">
        <v>17198</v>
      </c>
      <c r="H218" s="166">
        <f t="shared" si="3"/>
        <v>0</v>
      </c>
    </row>
    <row r="219" spans="1:8" x14ac:dyDescent="0.2">
      <c r="A219" s="32" t="s">
        <v>2106</v>
      </c>
      <c r="C219" s="4" t="s">
        <v>1137</v>
      </c>
      <c r="F219" s="31"/>
      <c r="G219" s="159"/>
      <c r="H219" s="166">
        <f t="shared" si="3"/>
        <v>0</v>
      </c>
    </row>
    <row r="220" spans="1:8" x14ac:dyDescent="0.2">
      <c r="A220" s="32" t="s">
        <v>503</v>
      </c>
      <c r="C220" s="4" t="s">
        <v>1139</v>
      </c>
      <c r="F220" s="31"/>
      <c r="G220" s="159"/>
      <c r="H220" s="166">
        <f t="shared" si="3"/>
        <v>0</v>
      </c>
    </row>
    <row r="221" spans="1:8" x14ac:dyDescent="0.2">
      <c r="A221" s="33" t="s">
        <v>2107</v>
      </c>
      <c r="C221" s="4" t="s">
        <v>1147</v>
      </c>
      <c r="F221" s="31">
        <v>17185</v>
      </c>
      <c r="G221" s="159">
        <v>17185</v>
      </c>
      <c r="H221" s="166">
        <f t="shared" si="3"/>
        <v>0</v>
      </c>
    </row>
    <row r="222" spans="1:8" x14ac:dyDescent="0.2">
      <c r="A222" s="33" t="s">
        <v>508</v>
      </c>
      <c r="C222" s="4" t="s">
        <v>1184</v>
      </c>
      <c r="F222" s="31">
        <v>17230</v>
      </c>
      <c r="G222" s="159">
        <v>17230</v>
      </c>
      <c r="H222" s="166">
        <f t="shared" si="3"/>
        <v>0</v>
      </c>
    </row>
    <row r="223" spans="1:8" x14ac:dyDescent="0.2">
      <c r="A223" s="33" t="s">
        <v>2108</v>
      </c>
      <c r="C223" s="4" t="s">
        <v>1186</v>
      </c>
      <c r="F223" s="31"/>
      <c r="G223" s="159"/>
      <c r="H223" s="166">
        <f t="shared" si="3"/>
        <v>0</v>
      </c>
    </row>
    <row r="224" spans="1:8" x14ac:dyDescent="0.2">
      <c r="A224" s="32" t="s">
        <v>2109</v>
      </c>
      <c r="C224" s="4" t="s">
        <v>1192</v>
      </c>
      <c r="F224" s="31">
        <v>17290</v>
      </c>
      <c r="G224" s="159">
        <v>17290</v>
      </c>
      <c r="H224" s="166">
        <f t="shared" si="3"/>
        <v>0</v>
      </c>
    </row>
    <row r="225" spans="1:8" x14ac:dyDescent="0.2">
      <c r="A225" s="32" t="s">
        <v>516</v>
      </c>
      <c r="C225" s="4" t="s">
        <v>1194</v>
      </c>
      <c r="F225" s="31">
        <v>17200</v>
      </c>
      <c r="G225" s="159">
        <v>17200</v>
      </c>
      <c r="H225" s="166">
        <f t="shared" si="3"/>
        <v>0</v>
      </c>
    </row>
    <row r="226" spans="1:8" x14ac:dyDescent="0.2">
      <c r="A226" s="32" t="s">
        <v>514</v>
      </c>
      <c r="C226" s="4" t="s">
        <v>919</v>
      </c>
      <c r="F226" s="31">
        <v>17205</v>
      </c>
      <c r="G226" s="159">
        <v>17205</v>
      </c>
      <c r="H226" s="166">
        <f t="shared" si="3"/>
        <v>0</v>
      </c>
    </row>
    <row r="227" spans="1:8" x14ac:dyDescent="0.2">
      <c r="A227" s="33" t="s">
        <v>2110</v>
      </c>
      <c r="C227" s="4" t="s">
        <v>1273</v>
      </c>
      <c r="F227" s="29">
        <v>17207</v>
      </c>
      <c r="G227" s="159">
        <v>17207</v>
      </c>
      <c r="H227" s="166">
        <f t="shared" si="3"/>
        <v>0</v>
      </c>
    </row>
    <row r="228" spans="1:8" x14ac:dyDescent="0.2">
      <c r="A228" s="35" t="s">
        <v>2111</v>
      </c>
      <c r="C228" s="4" t="s">
        <v>1277</v>
      </c>
      <c r="F228" s="31">
        <v>17250</v>
      </c>
      <c r="G228" s="159">
        <v>17250</v>
      </c>
      <c r="H228" s="166">
        <f t="shared" si="3"/>
        <v>0</v>
      </c>
    </row>
    <row r="229" spans="1:8" x14ac:dyDescent="0.2">
      <c r="A229" s="33" t="s">
        <v>518</v>
      </c>
      <c r="C229" s="4" t="s">
        <v>1267</v>
      </c>
      <c r="F229" s="31">
        <v>17255</v>
      </c>
      <c r="G229" s="159">
        <v>17255</v>
      </c>
      <c r="H229" s="166">
        <f t="shared" si="3"/>
        <v>0</v>
      </c>
    </row>
    <row r="230" spans="1:8" x14ac:dyDescent="0.2">
      <c r="A230" s="32" t="s">
        <v>2112</v>
      </c>
      <c r="C230" s="4" t="s">
        <v>1271</v>
      </c>
      <c r="F230" s="29">
        <v>17293</v>
      </c>
      <c r="G230" s="159">
        <v>17293</v>
      </c>
      <c r="H230" s="166">
        <f t="shared" si="3"/>
        <v>0</v>
      </c>
    </row>
    <row r="231" spans="1:8" x14ac:dyDescent="0.2">
      <c r="A231" s="34" t="s">
        <v>2113</v>
      </c>
      <c r="C231" s="4" t="s">
        <v>1279</v>
      </c>
      <c r="F231" s="29">
        <v>17296</v>
      </c>
      <c r="G231" s="159">
        <v>17296</v>
      </c>
      <c r="H231" s="166">
        <f t="shared" si="3"/>
        <v>0</v>
      </c>
    </row>
    <row r="232" spans="1:8" x14ac:dyDescent="0.2">
      <c r="A232" s="32" t="s">
        <v>524</v>
      </c>
      <c r="C232" s="4" t="s">
        <v>1199</v>
      </c>
      <c r="F232" s="29">
        <v>17294</v>
      </c>
      <c r="G232" s="159">
        <v>17294</v>
      </c>
      <c r="H232" s="166">
        <f t="shared" si="3"/>
        <v>0</v>
      </c>
    </row>
    <row r="233" spans="1:8" x14ac:dyDescent="0.2">
      <c r="A233" s="33" t="s">
        <v>2114</v>
      </c>
      <c r="C233" s="4" t="s">
        <v>1201</v>
      </c>
      <c r="F233" s="29">
        <v>17298</v>
      </c>
      <c r="G233" s="159">
        <v>17298</v>
      </c>
      <c r="H233" s="166">
        <f t="shared" si="3"/>
        <v>0</v>
      </c>
    </row>
    <row r="234" spans="1:8" x14ac:dyDescent="0.2">
      <c r="A234" s="33" t="s">
        <v>528</v>
      </c>
      <c r="C234" s="4" t="s">
        <v>1281</v>
      </c>
      <c r="F234" s="29">
        <v>17301</v>
      </c>
      <c r="G234" s="159">
        <v>17301</v>
      </c>
      <c r="H234" s="166">
        <f t="shared" si="3"/>
        <v>0</v>
      </c>
    </row>
    <row r="235" spans="1:8" x14ac:dyDescent="0.2">
      <c r="A235" s="33" t="s">
        <v>2115</v>
      </c>
      <c r="C235" s="4" t="s">
        <v>986</v>
      </c>
      <c r="F235" s="29"/>
      <c r="G235" s="160"/>
      <c r="H235" s="166">
        <f t="shared" si="3"/>
        <v>0</v>
      </c>
    </row>
    <row r="236" spans="1:8" x14ac:dyDescent="0.2">
      <c r="A236" s="32" t="s">
        <v>2116</v>
      </c>
      <c r="C236" s="4" t="s">
        <v>1301</v>
      </c>
      <c r="F236" s="29"/>
      <c r="G236" s="160"/>
      <c r="H236" s="166">
        <f t="shared" si="3"/>
        <v>0</v>
      </c>
    </row>
    <row r="237" spans="1:8" x14ac:dyDescent="0.2">
      <c r="A237" s="33" t="s">
        <v>2117</v>
      </c>
      <c r="C237" s="4" t="s">
        <v>1297</v>
      </c>
      <c r="F237" s="31">
        <v>17182</v>
      </c>
      <c r="G237" s="159">
        <v>17182</v>
      </c>
      <c r="H237" s="166">
        <f t="shared" si="3"/>
        <v>0</v>
      </c>
    </row>
    <row r="238" spans="1:8" x14ac:dyDescent="0.2">
      <c r="A238" s="32" t="s">
        <v>2118</v>
      </c>
      <c r="C238" s="4" t="s">
        <v>1303</v>
      </c>
      <c r="F238" s="31">
        <v>17297</v>
      </c>
      <c r="G238" s="159">
        <v>17297</v>
      </c>
      <c r="H238" s="166">
        <f t="shared" si="3"/>
        <v>0</v>
      </c>
    </row>
    <row r="239" spans="1:8" x14ac:dyDescent="0.2">
      <c r="A239" s="32" t="s">
        <v>2119</v>
      </c>
      <c r="C239" s="4" t="s">
        <v>1205</v>
      </c>
      <c r="F239" s="21">
        <v>17299</v>
      </c>
      <c r="G239" s="160">
        <v>17299</v>
      </c>
      <c r="H239" s="166">
        <f t="shared" si="3"/>
        <v>0</v>
      </c>
    </row>
    <row r="240" spans="1:8" x14ac:dyDescent="0.2">
      <c r="A240" s="32" t="s">
        <v>540</v>
      </c>
      <c r="C240" s="4" t="s">
        <v>1209</v>
      </c>
      <c r="F240" s="21"/>
      <c r="G240" s="160"/>
      <c r="H240" s="166">
        <f t="shared" si="3"/>
        <v>0</v>
      </c>
    </row>
    <row r="241" spans="1:8" x14ac:dyDescent="0.2">
      <c r="A241" s="20" t="s">
        <v>544</v>
      </c>
      <c r="C241" s="4" t="s">
        <v>1211</v>
      </c>
      <c r="F241" s="31">
        <v>17400</v>
      </c>
      <c r="G241" s="159">
        <v>17400</v>
      </c>
      <c r="H241" s="166">
        <f t="shared" si="3"/>
        <v>0</v>
      </c>
    </row>
    <row r="242" spans="1:8" x14ac:dyDescent="0.2">
      <c r="A242" s="33" t="s">
        <v>542</v>
      </c>
      <c r="C242" s="18" t="s">
        <v>2120</v>
      </c>
      <c r="F242" s="29">
        <v>17405</v>
      </c>
      <c r="G242" s="159">
        <v>17405</v>
      </c>
      <c r="H242" s="166">
        <f t="shared" si="3"/>
        <v>0</v>
      </c>
    </row>
    <row r="243" spans="1:8" x14ac:dyDescent="0.2">
      <c r="A243" s="33" t="s">
        <v>538</v>
      </c>
      <c r="C243" s="18" t="s">
        <v>2121</v>
      </c>
      <c r="F243" s="31">
        <v>17320</v>
      </c>
      <c r="G243" s="159">
        <v>17320</v>
      </c>
      <c r="H243" s="166">
        <f t="shared" si="3"/>
        <v>0</v>
      </c>
    </row>
    <row r="244" spans="1:8" x14ac:dyDescent="0.2">
      <c r="A244" s="32" t="s">
        <v>548</v>
      </c>
      <c r="C244" s="4" t="s">
        <v>1372</v>
      </c>
      <c r="F244" s="31">
        <v>17325</v>
      </c>
      <c r="G244" s="159">
        <v>17325</v>
      </c>
      <c r="H244" s="166">
        <f t="shared" si="3"/>
        <v>0</v>
      </c>
    </row>
    <row r="245" spans="1:8" x14ac:dyDescent="0.2">
      <c r="A245" s="20" t="s">
        <v>546</v>
      </c>
      <c r="C245" s="4" t="s">
        <v>1383</v>
      </c>
      <c r="F245" s="31"/>
      <c r="G245" s="159"/>
      <c r="H245" s="166">
        <f t="shared" si="3"/>
        <v>0</v>
      </c>
    </row>
    <row r="246" spans="1:8" x14ac:dyDescent="0.2">
      <c r="A246" s="34" t="s">
        <v>2122</v>
      </c>
      <c r="C246" s="4" t="s">
        <v>984</v>
      </c>
      <c r="F246" s="31"/>
      <c r="G246" s="160"/>
      <c r="H246" s="166">
        <f t="shared" si="3"/>
        <v>0</v>
      </c>
    </row>
    <row r="247" spans="1:8" x14ac:dyDescent="0.2">
      <c r="A247" s="33" t="s">
        <v>556</v>
      </c>
      <c r="C247" s="4" t="s">
        <v>1387</v>
      </c>
      <c r="F247" s="21"/>
      <c r="G247" s="161"/>
      <c r="H247" s="166">
        <f t="shared" si="3"/>
        <v>0</v>
      </c>
    </row>
    <row r="248" spans="1:8" x14ac:dyDescent="0.2">
      <c r="A248" s="32" t="s">
        <v>2123</v>
      </c>
      <c r="C248" s="10" t="s">
        <v>2124</v>
      </c>
      <c r="F248" s="40"/>
      <c r="G248" s="161"/>
      <c r="H248" s="166">
        <f t="shared" si="3"/>
        <v>0</v>
      </c>
    </row>
    <row r="249" spans="1:8" x14ac:dyDescent="0.2">
      <c r="A249" s="33" t="s">
        <v>2125</v>
      </c>
      <c r="C249" s="4" t="s">
        <v>1385</v>
      </c>
      <c r="F249" s="21">
        <v>16010</v>
      </c>
      <c r="G249" s="160">
        <v>16010</v>
      </c>
      <c r="H249" s="166">
        <f t="shared" si="3"/>
        <v>0</v>
      </c>
    </row>
    <row r="250" spans="1:8" x14ac:dyDescent="0.2">
      <c r="A250" s="33" t="s">
        <v>2126</v>
      </c>
      <c r="C250" s="4" t="s">
        <v>1389</v>
      </c>
      <c r="F250" s="21">
        <v>16020</v>
      </c>
      <c r="G250" s="160">
        <v>16020</v>
      </c>
      <c r="H250" s="166">
        <f t="shared" si="3"/>
        <v>0</v>
      </c>
    </row>
    <row r="251" spans="1:8" x14ac:dyDescent="0.2">
      <c r="A251" s="32" t="s">
        <v>2127</v>
      </c>
      <c r="C251" s="4" t="s">
        <v>1392</v>
      </c>
      <c r="F251" s="21">
        <v>16030</v>
      </c>
      <c r="G251" s="160">
        <v>16030</v>
      </c>
      <c r="H251" s="166">
        <f t="shared" si="3"/>
        <v>0</v>
      </c>
    </row>
    <row r="252" spans="1:8" x14ac:dyDescent="0.2">
      <c r="A252" s="32" t="s">
        <v>2128</v>
      </c>
      <c r="C252" s="4" t="s">
        <v>1285</v>
      </c>
      <c r="F252" s="26">
        <v>16031</v>
      </c>
      <c r="G252" s="160">
        <v>16031</v>
      </c>
      <c r="H252" s="166">
        <f t="shared" si="3"/>
        <v>0</v>
      </c>
    </row>
    <row r="253" spans="1:8" x14ac:dyDescent="0.2">
      <c r="A253" s="32" t="s">
        <v>2129</v>
      </c>
      <c r="C253" s="4" t="s">
        <v>1287</v>
      </c>
      <c r="F253" s="21">
        <v>16210</v>
      </c>
      <c r="G253" s="160">
        <v>16210</v>
      </c>
      <c r="H253" s="166">
        <f t="shared" si="3"/>
        <v>0</v>
      </c>
    </row>
    <row r="254" spans="1:8" x14ac:dyDescent="0.2">
      <c r="A254" s="32" t="s">
        <v>2130</v>
      </c>
      <c r="C254" s="4" t="s">
        <v>1213</v>
      </c>
      <c r="F254" s="21">
        <v>16220</v>
      </c>
      <c r="G254" s="160">
        <v>16220</v>
      </c>
      <c r="H254" s="166">
        <f t="shared" si="3"/>
        <v>0</v>
      </c>
    </row>
    <row r="255" spans="1:8" x14ac:dyDescent="0.2">
      <c r="A255" s="32" t="s">
        <v>745</v>
      </c>
      <c r="C255" s="4" t="s">
        <v>1215</v>
      </c>
      <c r="F255" s="21">
        <v>16230</v>
      </c>
      <c r="G255" s="160">
        <v>16230</v>
      </c>
      <c r="H255" s="166">
        <f t="shared" si="3"/>
        <v>0</v>
      </c>
    </row>
    <row r="256" spans="1:8" x14ac:dyDescent="0.2">
      <c r="A256" s="32" t="s">
        <v>2131</v>
      </c>
      <c r="C256" s="4" t="s">
        <v>1217</v>
      </c>
      <c r="F256" s="21">
        <v>16240</v>
      </c>
      <c r="G256" s="160">
        <v>16240</v>
      </c>
      <c r="H256" s="166">
        <f t="shared" si="3"/>
        <v>0</v>
      </c>
    </row>
    <row r="257" spans="1:8" x14ac:dyDescent="0.2">
      <c r="A257" s="33" t="s">
        <v>2132</v>
      </c>
      <c r="C257" s="4" t="s">
        <v>1797</v>
      </c>
      <c r="F257" s="21">
        <v>16270</v>
      </c>
      <c r="G257" s="160">
        <v>16270</v>
      </c>
      <c r="H257" s="166">
        <f t="shared" si="3"/>
        <v>0</v>
      </c>
    </row>
    <row r="258" spans="1:8" x14ac:dyDescent="0.2">
      <c r="A258" s="33" t="s">
        <v>2133</v>
      </c>
      <c r="C258" s="4" t="s">
        <v>1219</v>
      </c>
      <c r="F258" s="21"/>
      <c r="G258" s="160"/>
      <c r="H258" s="166">
        <f t="shared" ref="H258:H321" si="4">F258-G258</f>
        <v>0</v>
      </c>
    </row>
    <row r="259" spans="1:8" x14ac:dyDescent="0.2">
      <c r="A259" s="33" t="s">
        <v>2134</v>
      </c>
      <c r="C259" s="4" t="s">
        <v>1221</v>
      </c>
      <c r="F259" s="21">
        <v>16040</v>
      </c>
      <c r="G259" s="160">
        <v>16040</v>
      </c>
      <c r="H259" s="166">
        <f t="shared" si="4"/>
        <v>0</v>
      </c>
    </row>
    <row r="260" spans="1:8" x14ac:dyDescent="0.2">
      <c r="A260" s="33" t="s">
        <v>2135</v>
      </c>
      <c r="C260" s="4" t="s">
        <v>1225</v>
      </c>
      <c r="F260" s="21"/>
      <c r="G260" s="160"/>
      <c r="H260" s="166">
        <f t="shared" si="4"/>
        <v>0</v>
      </c>
    </row>
    <row r="261" spans="1:8" x14ac:dyDescent="0.2">
      <c r="A261" s="32" t="s">
        <v>570</v>
      </c>
      <c r="C261" s="4" t="s">
        <v>1227</v>
      </c>
      <c r="F261" s="21">
        <v>16060</v>
      </c>
      <c r="G261" s="160">
        <v>16060</v>
      </c>
      <c r="H261" s="166">
        <f t="shared" si="4"/>
        <v>0</v>
      </c>
    </row>
    <row r="262" spans="1:8" x14ac:dyDescent="0.2">
      <c r="A262" s="32" t="s">
        <v>615</v>
      </c>
      <c r="C262" s="4" t="s">
        <v>1231</v>
      </c>
      <c r="F262" s="21">
        <v>16065</v>
      </c>
      <c r="G262" s="160">
        <v>16065</v>
      </c>
      <c r="H262" s="166">
        <f t="shared" si="4"/>
        <v>0</v>
      </c>
    </row>
    <row r="263" spans="1:8" x14ac:dyDescent="0.2">
      <c r="A263" s="32" t="s">
        <v>621</v>
      </c>
      <c r="C263" s="4" t="s">
        <v>1348</v>
      </c>
      <c r="F263" s="26"/>
      <c r="G263" s="160"/>
      <c r="H263" s="166">
        <f t="shared" si="4"/>
        <v>0</v>
      </c>
    </row>
    <row r="264" spans="1:8" x14ac:dyDescent="0.2">
      <c r="A264" s="33" t="s">
        <v>623</v>
      </c>
      <c r="C264" s="4" t="s">
        <v>1233</v>
      </c>
      <c r="F264" s="26"/>
      <c r="G264" s="160"/>
      <c r="H264" s="166">
        <f t="shared" si="4"/>
        <v>0</v>
      </c>
    </row>
    <row r="265" spans="1:8" x14ac:dyDescent="0.2">
      <c r="A265" s="32" t="s">
        <v>2136</v>
      </c>
      <c r="C265" s="4" t="s">
        <v>1235</v>
      </c>
      <c r="F265" s="21">
        <v>16070</v>
      </c>
      <c r="G265" s="160">
        <v>16070</v>
      </c>
      <c r="H265" s="166">
        <f t="shared" si="4"/>
        <v>0</v>
      </c>
    </row>
    <row r="266" spans="1:8" x14ac:dyDescent="0.2">
      <c r="A266" s="32" t="s">
        <v>2137</v>
      </c>
      <c r="C266" s="4" t="s">
        <v>1239</v>
      </c>
      <c r="F266" s="21">
        <v>16075</v>
      </c>
      <c r="G266" s="160">
        <v>16075</v>
      </c>
      <c r="H266" s="166">
        <f t="shared" si="4"/>
        <v>0</v>
      </c>
    </row>
    <row r="267" spans="1:8" x14ac:dyDescent="0.2">
      <c r="A267" s="33" t="s">
        <v>462</v>
      </c>
      <c r="C267" s="4" t="s">
        <v>1241</v>
      </c>
      <c r="F267" s="21">
        <v>16077</v>
      </c>
      <c r="G267" s="160">
        <v>16077</v>
      </c>
      <c r="H267" s="166">
        <f t="shared" si="4"/>
        <v>0</v>
      </c>
    </row>
    <row r="268" spans="1:8" x14ac:dyDescent="0.2">
      <c r="A268" s="33" t="s">
        <v>2138</v>
      </c>
      <c r="C268" s="4" t="s">
        <v>1046</v>
      </c>
      <c r="F268" s="21">
        <v>16080</v>
      </c>
      <c r="G268" s="160">
        <v>16080</v>
      </c>
      <c r="H268" s="166">
        <f t="shared" si="4"/>
        <v>0</v>
      </c>
    </row>
    <row r="269" spans="1:8" x14ac:dyDescent="0.2">
      <c r="A269" s="33" t="s">
        <v>659</v>
      </c>
      <c r="C269" s="4" t="s">
        <v>1243</v>
      </c>
      <c r="F269" s="21">
        <v>16085</v>
      </c>
      <c r="G269" s="160">
        <v>16085</v>
      </c>
      <c r="H269" s="166">
        <f t="shared" si="4"/>
        <v>0</v>
      </c>
    </row>
    <row r="270" spans="1:8" x14ac:dyDescent="0.2">
      <c r="A270" s="35" t="s">
        <v>661</v>
      </c>
      <c r="C270" s="4" t="s">
        <v>1245</v>
      </c>
      <c r="F270" s="21"/>
      <c r="G270" s="160"/>
      <c r="H270" s="166">
        <f t="shared" si="4"/>
        <v>0</v>
      </c>
    </row>
    <row r="271" spans="1:8" x14ac:dyDescent="0.2">
      <c r="A271" s="35" t="s">
        <v>880</v>
      </c>
      <c r="C271" s="4" t="s">
        <v>1249</v>
      </c>
      <c r="F271" s="21">
        <v>16100</v>
      </c>
      <c r="G271" s="160">
        <v>16100</v>
      </c>
      <c r="H271" s="166">
        <f t="shared" si="4"/>
        <v>0</v>
      </c>
    </row>
    <row r="272" spans="1:8" x14ac:dyDescent="0.2">
      <c r="A272" s="33" t="s">
        <v>2139</v>
      </c>
      <c r="C272" s="4" t="s">
        <v>1259</v>
      </c>
      <c r="F272" s="21">
        <v>16110</v>
      </c>
      <c r="G272" s="160">
        <v>16110</v>
      </c>
      <c r="H272" s="166">
        <f t="shared" si="4"/>
        <v>0</v>
      </c>
    </row>
    <row r="273" spans="1:8" x14ac:dyDescent="0.2">
      <c r="A273" s="32" t="s">
        <v>2140</v>
      </c>
      <c r="C273" s="4" t="s">
        <v>1253</v>
      </c>
      <c r="F273" s="21"/>
      <c r="G273" s="160"/>
      <c r="H273" s="166">
        <f t="shared" si="4"/>
        <v>0</v>
      </c>
    </row>
    <row r="274" spans="1:8" x14ac:dyDescent="0.2">
      <c r="A274" s="32" t="s">
        <v>625</v>
      </c>
      <c r="C274" s="4" t="s">
        <v>1257</v>
      </c>
      <c r="F274" s="21"/>
      <c r="G274" s="160"/>
      <c r="H274" s="166">
        <f t="shared" si="4"/>
        <v>0</v>
      </c>
    </row>
    <row r="275" spans="1:8" x14ac:dyDescent="0.2">
      <c r="A275" s="32" t="s">
        <v>2141</v>
      </c>
      <c r="C275" s="4" t="s">
        <v>1407</v>
      </c>
      <c r="F275" s="26">
        <v>16301</v>
      </c>
      <c r="G275" s="160">
        <v>16301</v>
      </c>
      <c r="H275" s="166">
        <f t="shared" si="4"/>
        <v>0</v>
      </c>
    </row>
    <row r="276" spans="1:8" x14ac:dyDescent="0.2">
      <c r="A276" s="32" t="s">
        <v>568</v>
      </c>
      <c r="C276" s="4" t="s">
        <v>1409</v>
      </c>
      <c r="F276" s="21">
        <v>16325</v>
      </c>
      <c r="G276" s="160">
        <v>16325</v>
      </c>
      <c r="H276" s="166">
        <f t="shared" si="4"/>
        <v>0</v>
      </c>
    </row>
    <row r="277" spans="1:8" x14ac:dyDescent="0.2">
      <c r="A277" s="33" t="s">
        <v>2142</v>
      </c>
      <c r="C277" s="4" t="s">
        <v>1419</v>
      </c>
      <c r="F277" s="21">
        <v>16330</v>
      </c>
      <c r="G277" s="160">
        <v>16330</v>
      </c>
      <c r="H277" s="166">
        <f t="shared" si="4"/>
        <v>0</v>
      </c>
    </row>
    <row r="278" spans="1:8" x14ac:dyDescent="0.2">
      <c r="A278" s="33" t="s">
        <v>2143</v>
      </c>
      <c r="C278" s="4" t="s">
        <v>1421</v>
      </c>
      <c r="F278" s="21">
        <v>16340</v>
      </c>
      <c r="G278" s="160">
        <v>16340</v>
      </c>
      <c r="H278" s="166">
        <f t="shared" si="4"/>
        <v>0</v>
      </c>
    </row>
    <row r="279" spans="1:8" x14ac:dyDescent="0.2">
      <c r="A279" s="32" t="s">
        <v>2144</v>
      </c>
      <c r="C279" s="4" t="s">
        <v>2039</v>
      </c>
      <c r="F279" s="21">
        <v>16345</v>
      </c>
      <c r="G279" s="160">
        <v>16345</v>
      </c>
      <c r="H279" s="166">
        <f t="shared" si="4"/>
        <v>0</v>
      </c>
    </row>
    <row r="280" spans="1:8" x14ac:dyDescent="0.2">
      <c r="A280" s="23" t="s">
        <v>2145</v>
      </c>
      <c r="C280" s="4" t="s">
        <v>1423</v>
      </c>
      <c r="F280" s="167"/>
      <c r="G280" s="160">
        <v>16350</v>
      </c>
      <c r="H280" s="166">
        <f t="shared" si="4"/>
        <v>-16350</v>
      </c>
    </row>
    <row r="281" spans="1:8" x14ac:dyDescent="0.2">
      <c r="A281" s="19" t="s">
        <v>886</v>
      </c>
      <c r="C281" s="4" t="s">
        <v>1425</v>
      </c>
      <c r="F281" s="26">
        <v>16351</v>
      </c>
      <c r="G281" s="160">
        <v>16351</v>
      </c>
      <c r="H281" s="166">
        <f t="shared" si="4"/>
        <v>0</v>
      </c>
    </row>
    <row r="282" spans="1:8" x14ac:dyDescent="0.2">
      <c r="A282" s="33" t="s">
        <v>2146</v>
      </c>
      <c r="C282" s="4" t="s">
        <v>1427</v>
      </c>
      <c r="F282" s="26">
        <v>16352</v>
      </c>
      <c r="G282" s="160">
        <v>16352</v>
      </c>
      <c r="H282" s="166">
        <f t="shared" si="4"/>
        <v>0</v>
      </c>
    </row>
    <row r="283" spans="1:8" x14ac:dyDescent="0.2">
      <c r="A283" s="35" t="s">
        <v>2147</v>
      </c>
      <c r="C283" s="4" t="s">
        <v>1434</v>
      </c>
      <c r="F283" s="26">
        <v>16353</v>
      </c>
      <c r="G283" s="160">
        <v>16353</v>
      </c>
      <c r="H283" s="166">
        <f t="shared" si="4"/>
        <v>0</v>
      </c>
    </row>
    <row r="284" spans="1:8" x14ac:dyDescent="0.2">
      <c r="A284" s="33" t="s">
        <v>776</v>
      </c>
      <c r="C284" s="15" t="s">
        <v>2148</v>
      </c>
      <c r="F284" s="31"/>
      <c r="G284" s="159"/>
      <c r="H284" s="166">
        <f t="shared" si="4"/>
        <v>0</v>
      </c>
    </row>
    <row r="285" spans="1:8" x14ac:dyDescent="0.2">
      <c r="A285" s="35" t="s">
        <v>774</v>
      </c>
      <c r="C285" s="15" t="s">
        <v>2149</v>
      </c>
      <c r="F285" s="31"/>
      <c r="G285" s="160"/>
      <c r="H285" s="166">
        <f t="shared" si="4"/>
        <v>0</v>
      </c>
    </row>
    <row r="286" spans="1:8" x14ac:dyDescent="0.2">
      <c r="A286" s="35" t="s">
        <v>2150</v>
      </c>
      <c r="C286" s="15" t="s">
        <v>2151</v>
      </c>
      <c r="F286" s="21"/>
      <c r="G286" s="159"/>
      <c r="H286" s="166">
        <f t="shared" si="4"/>
        <v>0</v>
      </c>
    </row>
    <row r="287" spans="1:8" x14ac:dyDescent="0.2">
      <c r="A287" s="35" t="s">
        <v>2152</v>
      </c>
      <c r="C287" s="15" t="s">
        <v>2153</v>
      </c>
      <c r="F287" s="31"/>
      <c r="G287" s="159"/>
      <c r="H287" s="166">
        <f t="shared" si="4"/>
        <v>0</v>
      </c>
    </row>
    <row r="288" spans="1:8" x14ac:dyDescent="0.2">
      <c r="A288" s="33" t="s">
        <v>2154</v>
      </c>
      <c r="C288" s="4" t="s">
        <v>2040</v>
      </c>
      <c r="F288" s="21">
        <v>18010</v>
      </c>
      <c r="G288" s="160">
        <v>18010</v>
      </c>
      <c r="H288" s="166">
        <f t="shared" si="4"/>
        <v>0</v>
      </c>
    </row>
    <row r="289" spans="1:8" x14ac:dyDescent="0.2">
      <c r="A289" s="22" t="s">
        <v>2155</v>
      </c>
      <c r="C289" s="15" t="s">
        <v>2156</v>
      </c>
      <c r="F289" s="21">
        <v>18220</v>
      </c>
      <c r="G289" s="160">
        <v>18220</v>
      </c>
      <c r="H289" s="166">
        <f t="shared" si="4"/>
        <v>0</v>
      </c>
    </row>
    <row r="290" spans="1:8" x14ac:dyDescent="0.2">
      <c r="A290" s="32" t="s">
        <v>2157</v>
      </c>
      <c r="C290" s="16" t="s">
        <v>2158</v>
      </c>
      <c r="F290" s="21">
        <v>18020</v>
      </c>
      <c r="G290" s="160">
        <v>18020</v>
      </c>
      <c r="H290" s="166">
        <f t="shared" si="4"/>
        <v>0</v>
      </c>
    </row>
    <row r="291" spans="1:8" x14ac:dyDescent="0.2">
      <c r="A291" s="25" t="s">
        <v>733</v>
      </c>
      <c r="C291" s="15" t="s">
        <v>2159</v>
      </c>
      <c r="F291" s="26">
        <v>18025</v>
      </c>
      <c r="G291" s="160">
        <v>18025</v>
      </c>
      <c r="H291" s="166">
        <f t="shared" si="4"/>
        <v>0</v>
      </c>
    </row>
    <row r="292" spans="1:8" x14ac:dyDescent="0.2">
      <c r="A292" s="35" t="s">
        <v>704</v>
      </c>
      <c r="C292" s="15" t="s">
        <v>2160</v>
      </c>
      <c r="F292" s="21">
        <v>18030</v>
      </c>
      <c r="G292" s="160">
        <v>18030</v>
      </c>
      <c r="H292" s="166">
        <f t="shared" si="4"/>
        <v>0</v>
      </c>
    </row>
    <row r="293" spans="1:8" x14ac:dyDescent="0.2">
      <c r="A293" s="33" t="s">
        <v>2161</v>
      </c>
      <c r="C293" s="15" t="s">
        <v>2162</v>
      </c>
      <c r="F293" s="21"/>
      <c r="G293" s="160"/>
      <c r="H293" s="166">
        <f t="shared" si="4"/>
        <v>0</v>
      </c>
    </row>
    <row r="294" spans="1:8" x14ac:dyDescent="0.2">
      <c r="A294" s="35" t="s">
        <v>2163</v>
      </c>
      <c r="C294" s="15" t="s">
        <v>2164</v>
      </c>
      <c r="F294" s="21">
        <v>18040</v>
      </c>
      <c r="G294" s="160">
        <v>18040</v>
      </c>
      <c r="H294" s="166">
        <f t="shared" si="4"/>
        <v>0</v>
      </c>
    </row>
    <row r="295" spans="1:8" x14ac:dyDescent="0.2">
      <c r="A295" s="33" t="s">
        <v>888</v>
      </c>
      <c r="C295" s="15" t="s">
        <v>2165</v>
      </c>
      <c r="F295" s="21"/>
      <c r="G295" s="160"/>
      <c r="H295" s="166">
        <f t="shared" si="4"/>
        <v>0</v>
      </c>
    </row>
    <row r="296" spans="1:8" x14ac:dyDescent="0.2">
      <c r="A296" s="32" t="s">
        <v>2166</v>
      </c>
      <c r="C296" s="4" t="s">
        <v>2167</v>
      </c>
      <c r="F296" s="21">
        <v>18060</v>
      </c>
      <c r="G296" s="160">
        <v>18060</v>
      </c>
      <c r="H296" s="166">
        <f t="shared" si="4"/>
        <v>0</v>
      </c>
    </row>
    <row r="297" spans="1:8" x14ac:dyDescent="0.2">
      <c r="A297" s="33" t="s">
        <v>599</v>
      </c>
      <c r="C297" s="14" t="s">
        <v>2168</v>
      </c>
      <c r="F297" s="26">
        <v>18111</v>
      </c>
      <c r="G297" s="160">
        <v>18111</v>
      </c>
      <c r="H297" s="166">
        <f t="shared" si="4"/>
        <v>0</v>
      </c>
    </row>
    <row r="298" spans="1:8" x14ac:dyDescent="0.2">
      <c r="A298" s="33" t="s">
        <v>605</v>
      </c>
      <c r="C298" s="14" t="s">
        <v>2169</v>
      </c>
      <c r="F298" s="26">
        <v>18112</v>
      </c>
      <c r="G298" s="160">
        <v>18112</v>
      </c>
      <c r="H298" s="166">
        <f t="shared" si="4"/>
        <v>0</v>
      </c>
    </row>
    <row r="299" spans="1:8" x14ac:dyDescent="0.2">
      <c r="A299" s="25" t="s">
        <v>601</v>
      </c>
      <c r="C299" s="14" t="s">
        <v>2170</v>
      </c>
      <c r="F299" s="26">
        <v>18113</v>
      </c>
      <c r="G299" s="160">
        <v>18113</v>
      </c>
      <c r="H299" s="166">
        <f t="shared" si="4"/>
        <v>0</v>
      </c>
    </row>
    <row r="300" spans="1:8" x14ac:dyDescent="0.2">
      <c r="A300" s="33" t="s">
        <v>603</v>
      </c>
      <c r="C300" s="14" t="s">
        <v>2171</v>
      </c>
      <c r="F300" s="21"/>
      <c r="G300" s="160"/>
      <c r="H300" s="166">
        <f t="shared" si="4"/>
        <v>0</v>
      </c>
    </row>
    <row r="301" spans="1:8" x14ac:dyDescent="0.2">
      <c r="A301" s="35" t="s">
        <v>2172</v>
      </c>
      <c r="C301" s="14" t="s">
        <v>2173</v>
      </c>
      <c r="F301" s="21">
        <v>18100</v>
      </c>
      <c r="G301" s="160">
        <v>18100</v>
      </c>
      <c r="H301" s="166">
        <f t="shared" si="4"/>
        <v>0</v>
      </c>
    </row>
    <row r="302" spans="1:8" x14ac:dyDescent="0.2">
      <c r="A302" s="33" t="s">
        <v>2174</v>
      </c>
      <c r="C302" s="14" t="s">
        <v>2175</v>
      </c>
      <c r="F302" s="26"/>
      <c r="G302" s="160"/>
      <c r="H302" s="166">
        <f t="shared" si="4"/>
        <v>0</v>
      </c>
    </row>
    <row r="303" spans="1:8" x14ac:dyDescent="0.2">
      <c r="A303" s="33" t="s">
        <v>2176</v>
      </c>
      <c r="C303" s="14" t="s">
        <v>2177</v>
      </c>
      <c r="F303" s="21">
        <v>18070</v>
      </c>
      <c r="G303" s="160">
        <v>18070</v>
      </c>
      <c r="H303" s="166">
        <f t="shared" si="4"/>
        <v>0</v>
      </c>
    </row>
    <row r="304" spans="1:8" x14ac:dyDescent="0.2">
      <c r="A304" s="35" t="s">
        <v>2178</v>
      </c>
      <c r="C304" s="14" t="s">
        <v>2179</v>
      </c>
      <c r="F304" s="21">
        <v>18080</v>
      </c>
      <c r="G304" s="160">
        <v>18080</v>
      </c>
      <c r="H304" s="166">
        <f t="shared" si="4"/>
        <v>0</v>
      </c>
    </row>
    <row r="305" spans="1:8" x14ac:dyDescent="0.2">
      <c r="A305" s="33" t="s">
        <v>607</v>
      </c>
      <c r="C305" s="4" t="s">
        <v>1155</v>
      </c>
      <c r="F305" s="21">
        <v>18260</v>
      </c>
      <c r="G305" s="160">
        <v>18260</v>
      </c>
      <c r="H305" s="166">
        <f t="shared" si="4"/>
        <v>0</v>
      </c>
    </row>
    <row r="306" spans="1:8" x14ac:dyDescent="0.2">
      <c r="A306" s="25" t="s">
        <v>2180</v>
      </c>
      <c r="C306" s="4" t="s">
        <v>1318</v>
      </c>
      <c r="F306" s="26">
        <v>18085</v>
      </c>
      <c r="G306" s="160">
        <v>18085</v>
      </c>
      <c r="H306" s="166">
        <f t="shared" si="4"/>
        <v>0</v>
      </c>
    </row>
    <row r="307" spans="1:8" x14ac:dyDescent="0.2">
      <c r="A307" s="33" t="s">
        <v>613</v>
      </c>
      <c r="C307" s="4" t="s">
        <v>1048</v>
      </c>
      <c r="F307" s="26"/>
      <c r="G307" s="160"/>
      <c r="H307" s="166">
        <f t="shared" si="4"/>
        <v>0</v>
      </c>
    </row>
    <row r="308" spans="1:8" x14ac:dyDescent="0.2">
      <c r="A308" s="33" t="s">
        <v>2181</v>
      </c>
      <c r="C308" s="4" t="s">
        <v>2182</v>
      </c>
      <c r="F308" s="26">
        <v>18095</v>
      </c>
      <c r="G308" s="160">
        <v>18095</v>
      </c>
      <c r="H308" s="166">
        <f t="shared" si="4"/>
        <v>0</v>
      </c>
    </row>
    <row r="309" spans="1:8" x14ac:dyDescent="0.2">
      <c r="A309" s="33" t="s">
        <v>2183</v>
      </c>
      <c r="C309" s="4" t="s">
        <v>1324</v>
      </c>
      <c r="F309" s="21">
        <v>18050</v>
      </c>
      <c r="G309" s="160">
        <v>18050</v>
      </c>
      <c r="H309" s="166">
        <f t="shared" si="4"/>
        <v>0</v>
      </c>
    </row>
    <row r="310" spans="1:8" x14ac:dyDescent="0.2">
      <c r="A310" s="33" t="s">
        <v>2184</v>
      </c>
      <c r="C310" s="4" t="s">
        <v>2185</v>
      </c>
      <c r="F310" s="26"/>
      <c r="G310" s="160"/>
      <c r="H310" s="166">
        <f t="shared" si="4"/>
        <v>0</v>
      </c>
    </row>
    <row r="311" spans="1:8" ht="27" x14ac:dyDescent="0.2">
      <c r="A311" s="33" t="s">
        <v>2186</v>
      </c>
      <c r="C311" s="9" t="s">
        <v>2187</v>
      </c>
      <c r="F311" s="21">
        <v>18120</v>
      </c>
      <c r="G311" s="160">
        <v>18120</v>
      </c>
      <c r="H311" s="166">
        <f t="shared" si="4"/>
        <v>0</v>
      </c>
    </row>
    <row r="312" spans="1:8" x14ac:dyDescent="0.2">
      <c r="A312" s="23" t="s">
        <v>2188</v>
      </c>
      <c r="C312" s="4" t="s">
        <v>1320</v>
      </c>
      <c r="F312" s="21"/>
      <c r="G312" s="160"/>
      <c r="H312" s="166">
        <f t="shared" si="4"/>
        <v>0</v>
      </c>
    </row>
    <row r="313" spans="1:8" ht="27" x14ac:dyDescent="0.2">
      <c r="A313" s="23" t="s">
        <v>617</v>
      </c>
      <c r="C313" s="9" t="s">
        <v>2189</v>
      </c>
      <c r="F313" s="26">
        <v>18251</v>
      </c>
      <c r="G313" s="160">
        <v>18251</v>
      </c>
      <c r="H313" s="166">
        <f t="shared" si="4"/>
        <v>0</v>
      </c>
    </row>
    <row r="314" spans="1:8" ht="27" x14ac:dyDescent="0.2">
      <c r="A314" s="33" t="s">
        <v>619</v>
      </c>
      <c r="C314" s="9" t="s">
        <v>2190</v>
      </c>
      <c r="F314" s="26">
        <v>18252</v>
      </c>
      <c r="G314" s="160">
        <v>18252</v>
      </c>
      <c r="H314" s="166">
        <f t="shared" si="4"/>
        <v>0</v>
      </c>
    </row>
    <row r="315" spans="1:8" ht="27" x14ac:dyDescent="0.2">
      <c r="A315" s="23" t="s">
        <v>374</v>
      </c>
      <c r="C315" s="9" t="s">
        <v>2191</v>
      </c>
      <c r="F315" s="26">
        <v>18232</v>
      </c>
      <c r="G315" s="160">
        <v>18232</v>
      </c>
      <c r="H315" s="166">
        <f t="shared" si="4"/>
        <v>0</v>
      </c>
    </row>
    <row r="316" spans="1:8" x14ac:dyDescent="0.2">
      <c r="A316" s="33" t="s">
        <v>629</v>
      </c>
      <c r="C316" s="4" t="s">
        <v>2192</v>
      </c>
      <c r="F316" s="26">
        <v>18242</v>
      </c>
      <c r="G316" s="160">
        <v>18242</v>
      </c>
      <c r="H316" s="166">
        <f t="shared" si="4"/>
        <v>0</v>
      </c>
    </row>
    <row r="317" spans="1:8" ht="27" x14ac:dyDescent="0.2">
      <c r="A317" s="23" t="s">
        <v>627</v>
      </c>
      <c r="C317" s="9" t="s">
        <v>2193</v>
      </c>
      <c r="F317" s="26">
        <v>18243</v>
      </c>
      <c r="G317" s="160">
        <v>18243</v>
      </c>
      <c r="H317" s="166">
        <f t="shared" si="4"/>
        <v>0</v>
      </c>
    </row>
    <row r="318" spans="1:8" x14ac:dyDescent="0.2">
      <c r="A318" s="33" t="s">
        <v>2194</v>
      </c>
      <c r="C318" s="4" t="s">
        <v>2041</v>
      </c>
      <c r="F318" s="26">
        <v>18238</v>
      </c>
      <c r="G318" s="160">
        <v>18238</v>
      </c>
      <c r="H318" s="166">
        <f t="shared" si="4"/>
        <v>0</v>
      </c>
    </row>
    <row r="319" spans="1:8" x14ac:dyDescent="0.2">
      <c r="A319" s="33" t="s">
        <v>804</v>
      </c>
      <c r="C319" s="4" t="s">
        <v>1203</v>
      </c>
      <c r="F319" s="26">
        <v>18240</v>
      </c>
      <c r="G319" s="160">
        <v>18240</v>
      </c>
      <c r="H319" s="166">
        <f t="shared" si="4"/>
        <v>0</v>
      </c>
    </row>
    <row r="320" spans="1:8" x14ac:dyDescent="0.2">
      <c r="A320" s="23" t="s">
        <v>2195</v>
      </c>
      <c r="C320" s="4" t="s">
        <v>1340</v>
      </c>
      <c r="F320" s="21">
        <v>18210</v>
      </c>
      <c r="G320" s="160">
        <v>18210</v>
      </c>
      <c r="H320" s="166">
        <f t="shared" si="4"/>
        <v>0</v>
      </c>
    </row>
    <row r="321" spans="1:8" x14ac:dyDescent="0.2">
      <c r="A321" s="33" t="s">
        <v>631</v>
      </c>
      <c r="C321" s="4" t="s">
        <v>1338</v>
      </c>
      <c r="F321" s="26">
        <v>18236</v>
      </c>
      <c r="G321" s="160">
        <v>18236</v>
      </c>
      <c r="H321" s="166">
        <f t="shared" si="4"/>
        <v>0</v>
      </c>
    </row>
    <row r="322" spans="1:8" x14ac:dyDescent="0.2">
      <c r="A322" s="23" t="s">
        <v>2196</v>
      </c>
      <c r="C322" s="4" t="s">
        <v>1326</v>
      </c>
      <c r="F322" s="26">
        <v>18234</v>
      </c>
      <c r="G322" s="160">
        <v>18234</v>
      </c>
      <c r="H322" s="166">
        <f t="shared" ref="H322:H385" si="5">F322-G322</f>
        <v>0</v>
      </c>
    </row>
    <row r="323" spans="1:8" x14ac:dyDescent="0.2">
      <c r="A323" s="23" t="s">
        <v>2197</v>
      </c>
      <c r="C323" s="4" t="s">
        <v>1354</v>
      </c>
      <c r="F323" s="26">
        <v>18190</v>
      </c>
      <c r="G323" s="160">
        <v>18190</v>
      </c>
      <c r="H323" s="166">
        <f t="shared" si="5"/>
        <v>0</v>
      </c>
    </row>
    <row r="324" spans="1:8" ht="27" x14ac:dyDescent="0.2">
      <c r="A324" s="33" t="s">
        <v>2198</v>
      </c>
      <c r="C324" s="9" t="s">
        <v>2199</v>
      </c>
      <c r="F324" s="26"/>
      <c r="G324" s="160"/>
      <c r="H324" s="166">
        <f t="shared" si="5"/>
        <v>0</v>
      </c>
    </row>
    <row r="325" spans="1:8" x14ac:dyDescent="0.2">
      <c r="A325" s="23" t="s">
        <v>638</v>
      </c>
      <c r="C325" s="4" t="s">
        <v>2200</v>
      </c>
      <c r="F325" s="26"/>
      <c r="G325" s="159"/>
      <c r="H325" s="166">
        <f t="shared" si="5"/>
        <v>0</v>
      </c>
    </row>
    <row r="326" spans="1:8" ht="27" x14ac:dyDescent="0.2">
      <c r="A326" s="33" t="s">
        <v>2201</v>
      </c>
      <c r="C326" s="9" t="s">
        <v>2202</v>
      </c>
      <c r="F326" s="26"/>
      <c r="G326" s="160"/>
      <c r="H326" s="166">
        <f t="shared" si="5"/>
        <v>0</v>
      </c>
    </row>
    <row r="327" spans="1:8" ht="27" x14ac:dyDescent="0.2">
      <c r="A327" s="23" t="s">
        <v>2203</v>
      </c>
      <c r="C327" s="9" t="s">
        <v>2204</v>
      </c>
      <c r="F327" s="26">
        <v>14053</v>
      </c>
      <c r="G327" s="159">
        <v>14053</v>
      </c>
      <c r="H327" s="166">
        <f t="shared" si="5"/>
        <v>0</v>
      </c>
    </row>
    <row r="328" spans="1:8" x14ac:dyDescent="0.2">
      <c r="A328" s="23" t="s">
        <v>2205</v>
      </c>
      <c r="C328" s="4" t="s">
        <v>2206</v>
      </c>
      <c r="F328" s="26">
        <v>14023</v>
      </c>
      <c r="G328" s="159">
        <v>14023</v>
      </c>
      <c r="H328" s="166">
        <f t="shared" si="5"/>
        <v>0</v>
      </c>
    </row>
    <row r="329" spans="1:8" x14ac:dyDescent="0.2">
      <c r="A329" s="23" t="s">
        <v>2207</v>
      </c>
      <c r="C329" s="4" t="s">
        <v>1784</v>
      </c>
      <c r="F329" s="26">
        <v>14055</v>
      </c>
      <c r="G329" s="159">
        <v>14055</v>
      </c>
      <c r="H329" s="166">
        <f t="shared" si="5"/>
        <v>0</v>
      </c>
    </row>
    <row r="330" spans="1:8" x14ac:dyDescent="0.2">
      <c r="A330" s="23" t="s">
        <v>2208</v>
      </c>
      <c r="C330" s="4" t="s">
        <v>2209</v>
      </c>
      <c r="F330" s="26">
        <v>14056</v>
      </c>
      <c r="G330" s="159">
        <v>14056</v>
      </c>
      <c r="H330" s="166">
        <f t="shared" si="5"/>
        <v>0</v>
      </c>
    </row>
    <row r="331" spans="1:8" ht="27" x14ac:dyDescent="0.2">
      <c r="A331" s="23" t="s">
        <v>2210</v>
      </c>
      <c r="C331" s="9" t="s">
        <v>2211</v>
      </c>
      <c r="F331" s="26">
        <v>14241</v>
      </c>
      <c r="G331" s="159">
        <v>14241</v>
      </c>
      <c r="H331" s="166">
        <f t="shared" si="5"/>
        <v>0</v>
      </c>
    </row>
    <row r="332" spans="1:8" x14ac:dyDescent="0.2">
      <c r="A332" s="23" t="s">
        <v>2212</v>
      </c>
      <c r="C332" s="4" t="s">
        <v>1352</v>
      </c>
      <c r="F332" s="26"/>
      <c r="G332" s="159"/>
      <c r="H332" s="166">
        <f t="shared" si="5"/>
        <v>0</v>
      </c>
    </row>
    <row r="333" spans="1:8" x14ac:dyDescent="0.2">
      <c r="A333" s="23" t="s">
        <v>643</v>
      </c>
      <c r="C333" s="4" t="s">
        <v>1346</v>
      </c>
      <c r="F333" s="26">
        <v>14271</v>
      </c>
      <c r="G333" s="159">
        <v>14271</v>
      </c>
      <c r="H333" s="166">
        <f t="shared" si="5"/>
        <v>0</v>
      </c>
    </row>
    <row r="334" spans="1:8" x14ac:dyDescent="0.2">
      <c r="A334" s="23" t="s">
        <v>2213</v>
      </c>
      <c r="C334" s="4" t="s">
        <v>1344</v>
      </c>
      <c r="F334" s="6">
        <v>14090</v>
      </c>
      <c r="G334" s="160">
        <v>14090</v>
      </c>
      <c r="H334" s="166">
        <f t="shared" si="5"/>
        <v>0</v>
      </c>
    </row>
    <row r="335" spans="1:8" ht="27" x14ac:dyDescent="0.2">
      <c r="A335" s="23" t="s">
        <v>2214</v>
      </c>
      <c r="C335" s="9" t="s">
        <v>2215</v>
      </c>
      <c r="F335" s="6">
        <v>14070</v>
      </c>
      <c r="G335" s="160">
        <v>14070</v>
      </c>
      <c r="H335" s="166">
        <f t="shared" si="5"/>
        <v>0</v>
      </c>
    </row>
    <row r="336" spans="1:8" x14ac:dyDescent="0.2">
      <c r="A336" s="23" t="s">
        <v>706</v>
      </c>
      <c r="C336" s="4" t="s">
        <v>1368</v>
      </c>
      <c r="F336" s="26">
        <v>14272</v>
      </c>
      <c r="G336" s="160">
        <v>14272</v>
      </c>
      <c r="H336" s="166">
        <f t="shared" si="5"/>
        <v>0</v>
      </c>
    </row>
    <row r="337" spans="1:8" x14ac:dyDescent="0.2">
      <c r="A337" s="23" t="s">
        <v>442</v>
      </c>
      <c r="C337" s="4" t="s">
        <v>1370</v>
      </c>
      <c r="F337" s="26">
        <v>14042</v>
      </c>
      <c r="G337" s="159">
        <v>14042</v>
      </c>
      <c r="H337" s="166">
        <f t="shared" si="5"/>
        <v>0</v>
      </c>
    </row>
    <row r="338" spans="1:8" x14ac:dyDescent="0.2">
      <c r="A338" s="23" t="s">
        <v>440</v>
      </c>
      <c r="C338" s="4" t="s">
        <v>1376</v>
      </c>
      <c r="F338" s="26">
        <v>14242</v>
      </c>
      <c r="G338" s="159">
        <v>14242</v>
      </c>
      <c r="H338" s="166">
        <f t="shared" si="5"/>
        <v>0</v>
      </c>
    </row>
    <row r="339" spans="1:8" x14ac:dyDescent="0.2">
      <c r="A339" s="23" t="s">
        <v>652</v>
      </c>
      <c r="C339" s="4" t="s">
        <v>1378</v>
      </c>
      <c r="F339" s="26">
        <v>14243</v>
      </c>
      <c r="G339" s="159">
        <v>14243</v>
      </c>
      <c r="H339" s="166">
        <f t="shared" si="5"/>
        <v>0</v>
      </c>
    </row>
    <row r="340" spans="1:8" x14ac:dyDescent="0.2">
      <c r="A340" s="23" t="s">
        <v>648</v>
      </c>
      <c r="C340" s="4" t="s">
        <v>2042</v>
      </c>
      <c r="F340" s="26"/>
      <c r="G340" s="159"/>
      <c r="H340" s="166">
        <f t="shared" si="5"/>
        <v>0</v>
      </c>
    </row>
    <row r="341" spans="1:8" x14ac:dyDescent="0.2">
      <c r="A341" s="23" t="s">
        <v>945</v>
      </c>
      <c r="C341" s="4" t="s">
        <v>1429</v>
      </c>
      <c r="F341" s="26">
        <v>14193</v>
      </c>
      <c r="G341" s="159">
        <v>14193</v>
      </c>
      <c r="H341" s="166">
        <f t="shared" si="5"/>
        <v>0</v>
      </c>
    </row>
    <row r="342" spans="1:8" x14ac:dyDescent="0.2">
      <c r="A342" s="23" t="s">
        <v>2216</v>
      </c>
      <c r="C342" s="4" t="s">
        <v>2043</v>
      </c>
      <c r="F342" s="26">
        <v>14273</v>
      </c>
      <c r="G342" s="159">
        <v>14273</v>
      </c>
      <c r="H342" s="166">
        <f t="shared" si="5"/>
        <v>0</v>
      </c>
    </row>
    <row r="343" spans="1:8" x14ac:dyDescent="0.2">
      <c r="A343" s="23" t="s">
        <v>657</v>
      </c>
      <c r="C343" s="252" t="s">
        <v>1197</v>
      </c>
      <c r="F343" s="26">
        <v>14194</v>
      </c>
      <c r="G343" s="159">
        <v>14194</v>
      </c>
      <c r="H343" s="166">
        <f t="shared" si="5"/>
        <v>0</v>
      </c>
    </row>
    <row r="344" spans="1:8" x14ac:dyDescent="0.2">
      <c r="A344" s="23" t="s">
        <v>2217</v>
      </c>
      <c r="C344" s="252" t="s">
        <v>1207</v>
      </c>
      <c r="F344" s="26">
        <v>14195</v>
      </c>
      <c r="G344" s="159">
        <v>14195</v>
      </c>
      <c r="H344" s="166">
        <f t="shared" si="5"/>
        <v>0</v>
      </c>
    </row>
    <row r="345" spans="1:8" x14ac:dyDescent="0.2">
      <c r="A345" s="23" t="s">
        <v>655</v>
      </c>
      <c r="C345" s="252" t="s">
        <v>1223</v>
      </c>
      <c r="F345" s="26">
        <v>14197</v>
      </c>
      <c r="G345" s="159">
        <v>14197</v>
      </c>
      <c r="H345" s="166">
        <f t="shared" si="5"/>
        <v>0</v>
      </c>
    </row>
    <row r="346" spans="1:8" x14ac:dyDescent="0.2">
      <c r="A346" s="23" t="s">
        <v>2218</v>
      </c>
      <c r="C346" s="252" t="s">
        <v>1229</v>
      </c>
      <c r="F346" s="26">
        <v>14198</v>
      </c>
      <c r="G346" s="159">
        <v>14198</v>
      </c>
      <c r="H346" s="166">
        <f t="shared" si="5"/>
        <v>0</v>
      </c>
    </row>
    <row r="347" spans="1:8" x14ac:dyDescent="0.2">
      <c r="A347" s="23" t="s">
        <v>597</v>
      </c>
      <c r="C347" s="252" t="s">
        <v>1237</v>
      </c>
      <c r="F347" s="26">
        <v>14199</v>
      </c>
      <c r="G347" s="159">
        <v>14199</v>
      </c>
      <c r="H347" s="166">
        <f t="shared" si="5"/>
        <v>0</v>
      </c>
    </row>
    <row r="348" spans="1:8" x14ac:dyDescent="0.2">
      <c r="A348" s="23" t="s">
        <v>667</v>
      </c>
      <c r="C348" s="252" t="s">
        <v>1247</v>
      </c>
      <c r="F348" s="26">
        <v>14244</v>
      </c>
      <c r="G348" s="159">
        <v>14244</v>
      </c>
      <c r="H348" s="166">
        <f t="shared" si="5"/>
        <v>0</v>
      </c>
    </row>
    <row r="349" spans="1:8" x14ac:dyDescent="0.2">
      <c r="A349" s="23" t="s">
        <v>692</v>
      </c>
      <c r="C349" s="252" t="s">
        <v>1255</v>
      </c>
      <c r="F349" s="26">
        <v>14245</v>
      </c>
      <c r="G349" s="159">
        <v>14245</v>
      </c>
      <c r="H349" s="166">
        <f t="shared" si="5"/>
        <v>0</v>
      </c>
    </row>
    <row r="350" spans="1:8" x14ac:dyDescent="0.2">
      <c r="A350" s="23" t="s">
        <v>432</v>
      </c>
      <c r="C350" s="252" t="s">
        <v>1269</v>
      </c>
      <c r="F350" s="26">
        <v>14274</v>
      </c>
      <c r="G350" s="159">
        <v>14274</v>
      </c>
      <c r="H350" s="166">
        <f t="shared" si="5"/>
        <v>0</v>
      </c>
    </row>
    <row r="351" spans="1:8" x14ac:dyDescent="0.2">
      <c r="A351" s="23" t="s">
        <v>2219</v>
      </c>
      <c r="C351" s="4" t="s">
        <v>1787</v>
      </c>
      <c r="F351" s="26">
        <v>14275</v>
      </c>
      <c r="G351" s="159">
        <v>14275</v>
      </c>
      <c r="H351" s="166">
        <f t="shared" si="5"/>
        <v>0</v>
      </c>
    </row>
    <row r="352" spans="1:8" x14ac:dyDescent="0.2">
      <c r="A352" s="23" t="s">
        <v>695</v>
      </c>
      <c r="C352" s="253" t="s">
        <v>1149</v>
      </c>
      <c r="F352" s="26">
        <v>14276</v>
      </c>
      <c r="G352" s="159">
        <v>14276</v>
      </c>
      <c r="H352" s="166">
        <f t="shared" si="5"/>
        <v>0</v>
      </c>
    </row>
    <row r="353" spans="1:8" x14ac:dyDescent="0.2">
      <c r="A353" s="23"/>
      <c r="C353" s="253" t="s">
        <v>1332</v>
      </c>
      <c r="F353" s="26">
        <v>14277</v>
      </c>
      <c r="G353" s="159">
        <v>14277</v>
      </c>
      <c r="H353" s="166">
        <f t="shared" si="5"/>
        <v>0</v>
      </c>
    </row>
    <row r="354" spans="1:8" x14ac:dyDescent="0.2">
      <c r="A354" s="23"/>
      <c r="C354" s="253" t="s">
        <v>1334</v>
      </c>
      <c r="F354" s="26">
        <v>14246</v>
      </c>
      <c r="G354" s="159">
        <v>14246</v>
      </c>
      <c r="H354" s="166">
        <f t="shared" si="5"/>
        <v>0</v>
      </c>
    </row>
    <row r="355" spans="1:8" x14ac:dyDescent="0.2">
      <c r="A355" s="23"/>
      <c r="C355" s="253" t="s">
        <v>1336</v>
      </c>
      <c r="F355" s="26">
        <v>14247</v>
      </c>
      <c r="G355" s="159">
        <v>14247</v>
      </c>
      <c r="H355" s="166">
        <f t="shared" si="5"/>
        <v>0</v>
      </c>
    </row>
    <row r="356" spans="1:8" x14ac:dyDescent="0.2">
      <c r="A356" s="23"/>
      <c r="C356" s="253" t="s">
        <v>1399</v>
      </c>
      <c r="F356" s="26">
        <v>14248</v>
      </c>
      <c r="G356" s="159">
        <v>14248</v>
      </c>
      <c r="H356" s="166">
        <f t="shared" si="5"/>
        <v>0</v>
      </c>
    </row>
    <row r="357" spans="1:8" x14ac:dyDescent="0.2">
      <c r="A357" s="23"/>
      <c r="C357" s="253" t="s">
        <v>1401</v>
      </c>
      <c r="F357" s="26">
        <v>14249</v>
      </c>
      <c r="G357" s="159">
        <v>14249</v>
      </c>
      <c r="H357" s="166">
        <f t="shared" si="5"/>
        <v>0</v>
      </c>
    </row>
    <row r="358" spans="1:8" x14ac:dyDescent="0.2">
      <c r="A358" s="23"/>
      <c r="C358" s="253" t="s">
        <v>1293</v>
      </c>
      <c r="F358" s="26">
        <v>14250</v>
      </c>
      <c r="G358" s="159">
        <v>14250</v>
      </c>
      <c r="H358" s="166">
        <f t="shared" si="5"/>
        <v>0</v>
      </c>
    </row>
    <row r="359" spans="1:8" x14ac:dyDescent="0.2">
      <c r="A359" s="23"/>
      <c r="C359" s="253" t="s">
        <v>1305</v>
      </c>
      <c r="F359" s="26"/>
      <c r="G359" s="159"/>
      <c r="H359" s="166">
        <f t="shared" si="5"/>
        <v>0</v>
      </c>
    </row>
    <row r="360" spans="1:8" x14ac:dyDescent="0.2">
      <c r="A360" s="23"/>
      <c r="C360" s="253" t="s">
        <v>1307</v>
      </c>
      <c r="F360" s="26">
        <v>14278</v>
      </c>
      <c r="G360" s="159">
        <v>14278</v>
      </c>
      <c r="H360" s="166">
        <f t="shared" si="5"/>
        <v>0</v>
      </c>
    </row>
    <row r="361" spans="1:8" x14ac:dyDescent="0.2">
      <c r="A361" s="23" t="s">
        <v>697</v>
      </c>
      <c r="C361" s="4" t="s">
        <v>1847</v>
      </c>
      <c r="F361" s="26">
        <v>14279</v>
      </c>
      <c r="G361" s="159">
        <v>14279</v>
      </c>
      <c r="H361" s="166">
        <f t="shared" si="5"/>
        <v>0</v>
      </c>
    </row>
    <row r="362" spans="1:8" x14ac:dyDescent="0.2">
      <c r="A362" s="23"/>
      <c r="C362" s="253" t="s">
        <v>1309</v>
      </c>
      <c r="D362" s="4" t="s">
        <v>2220</v>
      </c>
      <c r="F362" s="26">
        <v>14052</v>
      </c>
      <c r="G362" s="159">
        <v>14052</v>
      </c>
      <c r="H362" s="166">
        <f t="shared" si="5"/>
        <v>0</v>
      </c>
    </row>
    <row r="363" spans="1:8" x14ac:dyDescent="0.2">
      <c r="A363" s="23"/>
      <c r="C363" s="253" t="s">
        <v>1251</v>
      </c>
      <c r="D363" s="5" t="s">
        <v>2221</v>
      </c>
      <c r="F363" s="26">
        <v>14232</v>
      </c>
      <c r="G363" s="159">
        <v>14232</v>
      </c>
      <c r="H363" s="166">
        <f t="shared" si="5"/>
        <v>0</v>
      </c>
    </row>
    <row r="364" spans="1:8" x14ac:dyDescent="0.2">
      <c r="A364" s="23"/>
      <c r="C364" s="253" t="s">
        <v>1312</v>
      </c>
      <c r="D364" s="5" t="s">
        <v>2222</v>
      </c>
      <c r="F364" s="26">
        <v>14251</v>
      </c>
      <c r="G364" s="159">
        <v>14251</v>
      </c>
      <c r="H364" s="166">
        <f t="shared" si="5"/>
        <v>0</v>
      </c>
    </row>
    <row r="365" spans="1:8" x14ac:dyDescent="0.2">
      <c r="A365" s="23"/>
      <c r="C365" s="253" t="s">
        <v>1330</v>
      </c>
      <c r="D365" s="4" t="s">
        <v>2223</v>
      </c>
      <c r="F365" s="26">
        <v>14280</v>
      </c>
      <c r="G365" s="159">
        <v>14280</v>
      </c>
      <c r="H365" s="166">
        <f t="shared" si="5"/>
        <v>0</v>
      </c>
    </row>
    <row r="366" spans="1:8" x14ac:dyDescent="0.2">
      <c r="A366" s="23"/>
      <c r="C366" s="253" t="s">
        <v>1350</v>
      </c>
      <c r="D366" s="4" t="s">
        <v>2224</v>
      </c>
      <c r="F366" s="26"/>
      <c r="G366" s="159"/>
      <c r="H366" s="166">
        <f t="shared" si="5"/>
        <v>0</v>
      </c>
    </row>
    <row r="367" spans="1:8" x14ac:dyDescent="0.2">
      <c r="A367" s="23"/>
      <c r="C367" s="253" t="s">
        <v>1358</v>
      </c>
      <c r="D367" s="4" t="s">
        <v>2225</v>
      </c>
      <c r="F367" s="26">
        <v>14281</v>
      </c>
      <c r="G367" s="159">
        <v>14281</v>
      </c>
      <c r="H367" s="166">
        <f t="shared" si="5"/>
        <v>0</v>
      </c>
    </row>
    <row r="368" spans="1:8" x14ac:dyDescent="0.2">
      <c r="A368" s="23"/>
      <c r="C368" s="140" t="s">
        <v>2226</v>
      </c>
      <c r="D368" s="4" t="s">
        <v>2227</v>
      </c>
      <c r="F368" s="26">
        <v>14282</v>
      </c>
      <c r="G368" s="159">
        <v>14282</v>
      </c>
      <c r="H368" s="166">
        <f t="shared" si="5"/>
        <v>0</v>
      </c>
    </row>
    <row r="369" spans="1:8" x14ac:dyDescent="0.2">
      <c r="A369" s="23"/>
      <c r="C369" s="253" t="s">
        <v>1360</v>
      </c>
      <c r="D369" s="4" t="s">
        <v>2228</v>
      </c>
      <c r="F369" s="31">
        <v>15080</v>
      </c>
      <c r="G369" s="159">
        <v>15080</v>
      </c>
      <c r="H369" s="166">
        <f t="shared" si="5"/>
        <v>0</v>
      </c>
    </row>
    <row r="370" spans="1:8" x14ac:dyDescent="0.3">
      <c r="A370" s="23"/>
      <c r="C370" s="253" t="s">
        <v>1362</v>
      </c>
      <c r="D370" s="4" t="s">
        <v>2229</v>
      </c>
      <c r="F370" s="44"/>
      <c r="G370" s="159"/>
      <c r="H370" s="166">
        <f t="shared" si="5"/>
        <v>0</v>
      </c>
    </row>
    <row r="371" spans="1:8" x14ac:dyDescent="0.2">
      <c r="A371" s="23" t="s">
        <v>2230</v>
      </c>
      <c r="C371" s="254" t="s">
        <v>2231</v>
      </c>
      <c r="D371" s="4" t="s">
        <v>2232</v>
      </c>
      <c r="F371" s="31"/>
      <c r="G371" s="160"/>
      <c r="H371" s="166">
        <f t="shared" si="5"/>
        <v>0</v>
      </c>
    </row>
    <row r="372" spans="1:8" x14ac:dyDescent="0.2">
      <c r="A372" s="23" t="s">
        <v>522</v>
      </c>
      <c r="C372" s="4" t="s">
        <v>994</v>
      </c>
      <c r="F372" s="21"/>
      <c r="G372" s="160"/>
      <c r="H372" s="166">
        <f t="shared" si="5"/>
        <v>0</v>
      </c>
    </row>
    <row r="373" spans="1:8" x14ac:dyDescent="0.2">
      <c r="A373" s="23" t="s">
        <v>2233</v>
      </c>
      <c r="C373" s="254"/>
      <c r="F373" s="21"/>
      <c r="G373" s="160"/>
      <c r="H373" s="166">
        <f t="shared" si="5"/>
        <v>0</v>
      </c>
    </row>
    <row r="374" spans="1:8" x14ac:dyDescent="0.2">
      <c r="A374" s="23" t="s">
        <v>2234</v>
      </c>
      <c r="C374" s="4" t="s">
        <v>1852</v>
      </c>
      <c r="F374" s="21"/>
      <c r="G374" s="160"/>
      <c r="H374" s="166">
        <f t="shared" si="5"/>
        <v>0</v>
      </c>
    </row>
    <row r="375" spans="1:8" x14ac:dyDescent="0.2">
      <c r="A375" s="23" t="s">
        <v>2235</v>
      </c>
      <c r="C375" s="4" t="s">
        <v>2236</v>
      </c>
      <c r="F375" s="21">
        <v>15100</v>
      </c>
      <c r="G375" s="160">
        <v>15100</v>
      </c>
      <c r="H375" s="166">
        <f t="shared" si="5"/>
        <v>0</v>
      </c>
    </row>
    <row r="376" spans="1:8" x14ac:dyDescent="0.2">
      <c r="A376" s="23" t="s">
        <v>700</v>
      </c>
      <c r="C376" s="4" t="s">
        <v>1799</v>
      </c>
      <c r="F376" s="21">
        <v>15110</v>
      </c>
      <c r="G376" s="160">
        <v>15110</v>
      </c>
      <c r="H376" s="166">
        <f t="shared" si="5"/>
        <v>0</v>
      </c>
    </row>
    <row r="377" spans="1:8" x14ac:dyDescent="0.2">
      <c r="A377" s="23" t="s">
        <v>702</v>
      </c>
      <c r="C377" s="4" t="s">
        <v>1805</v>
      </c>
      <c r="F377" s="21">
        <v>15120</v>
      </c>
      <c r="G377" s="160">
        <v>15120</v>
      </c>
      <c r="H377" s="166">
        <f t="shared" si="5"/>
        <v>0</v>
      </c>
    </row>
    <row r="378" spans="1:8" x14ac:dyDescent="0.2">
      <c r="A378" s="23" t="s">
        <v>2237</v>
      </c>
      <c r="C378" s="4" t="s">
        <v>1863</v>
      </c>
      <c r="F378" s="21">
        <v>15131</v>
      </c>
      <c r="G378" s="160">
        <v>15131</v>
      </c>
      <c r="H378" s="166">
        <f t="shared" si="5"/>
        <v>0</v>
      </c>
    </row>
    <row r="379" spans="1:8" x14ac:dyDescent="0.2">
      <c r="A379" s="23" t="s">
        <v>2238</v>
      </c>
      <c r="C379" s="4" t="s">
        <v>990</v>
      </c>
      <c r="F379" s="21">
        <v>15132</v>
      </c>
      <c r="G379" s="160">
        <v>15132</v>
      </c>
      <c r="H379" s="166">
        <f t="shared" si="5"/>
        <v>0</v>
      </c>
    </row>
    <row r="380" spans="1:8" x14ac:dyDescent="0.2">
      <c r="A380" s="23" t="s">
        <v>2239</v>
      </c>
      <c r="C380" s="4" t="s">
        <v>1866</v>
      </c>
      <c r="F380" s="21">
        <v>15133</v>
      </c>
      <c r="G380" s="160">
        <v>15133</v>
      </c>
      <c r="H380" s="166">
        <f t="shared" si="5"/>
        <v>0</v>
      </c>
    </row>
    <row r="381" spans="1:8" x14ac:dyDescent="0.2">
      <c r="A381" s="23" t="s">
        <v>2240</v>
      </c>
      <c r="C381" s="4" t="s">
        <v>1868</v>
      </c>
      <c r="F381" s="21"/>
      <c r="G381" s="160"/>
      <c r="H381" s="166">
        <f t="shared" si="5"/>
        <v>0</v>
      </c>
    </row>
    <row r="382" spans="1:8" x14ac:dyDescent="0.2">
      <c r="A382" s="23" t="s">
        <v>712</v>
      </c>
      <c r="C382" s="4" t="s">
        <v>1870</v>
      </c>
      <c r="F382" s="21">
        <v>15150</v>
      </c>
      <c r="G382" s="160">
        <v>15150</v>
      </c>
      <c r="H382" s="166">
        <f t="shared" si="5"/>
        <v>0</v>
      </c>
    </row>
    <row r="383" spans="1:8" x14ac:dyDescent="0.2">
      <c r="A383" s="25" t="s">
        <v>714</v>
      </c>
      <c r="C383" s="4" t="s">
        <v>1813</v>
      </c>
      <c r="F383" s="21">
        <v>15160</v>
      </c>
      <c r="G383" s="160">
        <v>15160</v>
      </c>
      <c r="H383" s="166">
        <f t="shared" si="5"/>
        <v>0</v>
      </c>
    </row>
    <row r="384" spans="1:8" x14ac:dyDescent="0.2">
      <c r="A384" s="25" t="s">
        <v>2241</v>
      </c>
      <c r="C384" s="4" t="s">
        <v>2242</v>
      </c>
      <c r="F384" s="21">
        <v>15170</v>
      </c>
      <c r="G384" s="160">
        <v>15170</v>
      </c>
      <c r="H384" s="166">
        <f t="shared" si="5"/>
        <v>0</v>
      </c>
    </row>
    <row r="385" spans="1:8" x14ac:dyDescent="0.2">
      <c r="A385" s="25" t="s">
        <v>2243</v>
      </c>
      <c r="C385" s="4" t="s">
        <v>2244</v>
      </c>
      <c r="F385" s="21">
        <v>15181</v>
      </c>
      <c r="G385" s="160">
        <v>15181</v>
      </c>
      <c r="H385" s="166">
        <f t="shared" si="5"/>
        <v>0</v>
      </c>
    </row>
    <row r="386" spans="1:8" x14ac:dyDescent="0.2">
      <c r="A386" s="25" t="s">
        <v>2245</v>
      </c>
      <c r="C386" s="4" t="s">
        <v>2044</v>
      </c>
      <c r="F386" s="21">
        <v>15182</v>
      </c>
      <c r="G386" s="160">
        <v>15182</v>
      </c>
      <c r="H386" s="166">
        <f t="shared" ref="H386:H449" si="6">F386-G386</f>
        <v>0</v>
      </c>
    </row>
    <row r="387" spans="1:8" x14ac:dyDescent="0.2">
      <c r="A387" s="25" t="s">
        <v>716</v>
      </c>
      <c r="C387" s="4" t="s">
        <v>923</v>
      </c>
      <c r="F387" s="21">
        <v>15183</v>
      </c>
      <c r="G387" s="160">
        <v>15183</v>
      </c>
      <c r="H387" s="166">
        <f t="shared" si="6"/>
        <v>0</v>
      </c>
    </row>
    <row r="388" spans="1:8" x14ac:dyDescent="0.2">
      <c r="A388" s="25" t="s">
        <v>2246</v>
      </c>
      <c r="C388" s="4" t="s">
        <v>2247</v>
      </c>
      <c r="F388" s="21"/>
      <c r="G388" s="160"/>
      <c r="H388" s="166">
        <f t="shared" si="6"/>
        <v>0</v>
      </c>
    </row>
    <row r="389" spans="1:8" x14ac:dyDescent="0.2">
      <c r="A389" s="25" t="s">
        <v>725</v>
      </c>
      <c r="C389" s="4" t="s">
        <v>2045</v>
      </c>
      <c r="F389" s="21">
        <v>15161</v>
      </c>
      <c r="G389" s="162">
        <v>15161</v>
      </c>
      <c r="H389" s="166">
        <f t="shared" si="6"/>
        <v>0</v>
      </c>
    </row>
    <row r="390" spans="1:8" x14ac:dyDescent="0.2">
      <c r="A390" s="25" t="s">
        <v>727</v>
      </c>
      <c r="C390" s="4" t="s">
        <v>1056</v>
      </c>
      <c r="F390" s="21">
        <v>15171</v>
      </c>
      <c r="G390" s="162">
        <v>15171</v>
      </c>
      <c r="H390" s="166">
        <f t="shared" si="6"/>
        <v>0</v>
      </c>
    </row>
    <row r="391" spans="1:8" x14ac:dyDescent="0.2">
      <c r="A391" s="25" t="s">
        <v>2248</v>
      </c>
      <c r="C391" s="4" t="s">
        <v>2249</v>
      </c>
      <c r="F391" s="21">
        <v>17305</v>
      </c>
      <c r="G391" s="162">
        <v>17305</v>
      </c>
      <c r="H391" s="166">
        <f t="shared" si="6"/>
        <v>0</v>
      </c>
    </row>
    <row r="392" spans="1:8" x14ac:dyDescent="0.2">
      <c r="A392" s="20" t="s">
        <v>2250</v>
      </c>
      <c r="C392" s="4" t="s">
        <v>1946</v>
      </c>
      <c r="F392" s="21">
        <v>17307</v>
      </c>
      <c r="G392" s="162">
        <v>17307</v>
      </c>
      <c r="H392" s="166">
        <f t="shared" si="6"/>
        <v>0</v>
      </c>
    </row>
    <row r="393" spans="1:8" x14ac:dyDescent="0.2">
      <c r="A393" s="20" t="s">
        <v>731</v>
      </c>
      <c r="C393" s="4" t="s">
        <v>1948</v>
      </c>
      <c r="F393" s="31">
        <v>13133</v>
      </c>
      <c r="G393" s="163">
        <v>13133</v>
      </c>
      <c r="H393" s="166">
        <f t="shared" si="6"/>
        <v>0</v>
      </c>
    </row>
    <row r="394" spans="1:8" x14ac:dyDescent="0.2">
      <c r="A394" s="20" t="s">
        <v>2251</v>
      </c>
      <c r="C394" s="4" t="s">
        <v>1060</v>
      </c>
      <c r="F394" s="29">
        <v>13147</v>
      </c>
      <c r="G394" s="163">
        <v>13147</v>
      </c>
      <c r="H394" s="166">
        <f t="shared" si="6"/>
        <v>0</v>
      </c>
    </row>
    <row r="395" spans="1:8" x14ac:dyDescent="0.2">
      <c r="A395" s="20" t="s">
        <v>2252</v>
      </c>
      <c r="C395" s="4" t="s">
        <v>2047</v>
      </c>
      <c r="F395" s="31">
        <v>17315</v>
      </c>
      <c r="G395" s="163">
        <v>17315</v>
      </c>
      <c r="H395" s="166">
        <f t="shared" si="6"/>
        <v>0</v>
      </c>
    </row>
    <row r="396" spans="1:8" x14ac:dyDescent="0.2">
      <c r="A396" s="25" t="s">
        <v>2253</v>
      </c>
      <c r="C396" s="4" t="s">
        <v>1062</v>
      </c>
      <c r="F396" s="21"/>
      <c r="G396" s="160"/>
      <c r="H396" s="166">
        <f t="shared" si="6"/>
        <v>0</v>
      </c>
    </row>
    <row r="397" spans="1:8" x14ac:dyDescent="0.2">
      <c r="A397" s="25" t="s">
        <v>2254</v>
      </c>
      <c r="C397" s="4" t="s">
        <v>1926</v>
      </c>
      <c r="F397" s="21">
        <v>15200</v>
      </c>
      <c r="G397" s="160">
        <v>15200</v>
      </c>
      <c r="H397" s="166">
        <f t="shared" si="6"/>
        <v>0</v>
      </c>
    </row>
    <row r="398" spans="1:8" x14ac:dyDescent="0.2">
      <c r="A398" s="25" t="s">
        <v>2255</v>
      </c>
      <c r="C398" s="4" t="s">
        <v>1928</v>
      </c>
      <c r="F398" s="21">
        <v>15210</v>
      </c>
      <c r="G398" s="160">
        <v>15210</v>
      </c>
      <c r="H398" s="166">
        <f t="shared" si="6"/>
        <v>0</v>
      </c>
    </row>
    <row r="399" spans="1:8" x14ac:dyDescent="0.2">
      <c r="A399" s="23" t="s">
        <v>735</v>
      </c>
      <c r="C399" s="4" t="s">
        <v>1930</v>
      </c>
      <c r="F399" s="21">
        <v>15220</v>
      </c>
      <c r="G399" s="160">
        <v>15220</v>
      </c>
      <c r="H399" s="166">
        <f t="shared" si="6"/>
        <v>0</v>
      </c>
    </row>
    <row r="400" spans="1:8" x14ac:dyDescent="0.2">
      <c r="A400" s="25" t="s">
        <v>893</v>
      </c>
      <c r="C400" s="4" t="s">
        <v>2256</v>
      </c>
      <c r="F400" s="21">
        <v>15231</v>
      </c>
      <c r="G400" s="160">
        <v>15231</v>
      </c>
      <c r="H400" s="166">
        <f t="shared" si="6"/>
        <v>0</v>
      </c>
    </row>
    <row r="401" spans="1:8" x14ac:dyDescent="0.2">
      <c r="A401" s="25" t="s">
        <v>2257</v>
      </c>
      <c r="C401" s="4" t="s">
        <v>2258</v>
      </c>
      <c r="F401" s="21">
        <v>15232</v>
      </c>
      <c r="G401" s="160">
        <v>15232</v>
      </c>
      <c r="H401" s="166">
        <f t="shared" si="6"/>
        <v>0</v>
      </c>
    </row>
    <row r="402" spans="1:8" x14ac:dyDescent="0.2">
      <c r="A402" s="25" t="s">
        <v>739</v>
      </c>
      <c r="C402" s="4" t="s">
        <v>2259</v>
      </c>
      <c r="F402" s="21">
        <v>15233</v>
      </c>
      <c r="G402" s="160">
        <v>15233</v>
      </c>
      <c r="H402" s="166">
        <f t="shared" si="6"/>
        <v>0</v>
      </c>
    </row>
    <row r="403" spans="1:8" x14ac:dyDescent="0.2">
      <c r="A403" s="25" t="s">
        <v>741</v>
      </c>
      <c r="C403" s="4" t="s">
        <v>1935</v>
      </c>
      <c r="F403" s="21">
        <v>15240</v>
      </c>
      <c r="G403" s="160">
        <v>15240</v>
      </c>
      <c r="H403" s="166">
        <f t="shared" si="6"/>
        <v>0</v>
      </c>
    </row>
    <row r="404" spans="1:8" x14ac:dyDescent="0.2">
      <c r="A404" s="25" t="s">
        <v>2260</v>
      </c>
      <c r="C404" s="4" t="s">
        <v>996</v>
      </c>
      <c r="F404" s="21"/>
      <c r="G404" s="160"/>
      <c r="H404" s="166">
        <f t="shared" si="6"/>
        <v>0</v>
      </c>
    </row>
    <row r="405" spans="1:8" x14ac:dyDescent="0.2">
      <c r="A405" s="22" t="s">
        <v>2261</v>
      </c>
      <c r="C405" s="4" t="s">
        <v>1938</v>
      </c>
      <c r="F405" s="21">
        <v>15250</v>
      </c>
      <c r="G405" s="160">
        <v>15250</v>
      </c>
      <c r="H405" s="166">
        <f t="shared" si="6"/>
        <v>0</v>
      </c>
    </row>
    <row r="406" spans="1:8" x14ac:dyDescent="0.2">
      <c r="A406" s="22" t="s">
        <v>2262</v>
      </c>
      <c r="C406" s="4" t="s">
        <v>1956</v>
      </c>
      <c r="F406" s="21">
        <v>15260</v>
      </c>
      <c r="G406" s="160">
        <v>15260</v>
      </c>
      <c r="H406" s="166">
        <f t="shared" si="6"/>
        <v>0</v>
      </c>
    </row>
    <row r="407" spans="1:8" x14ac:dyDescent="0.2">
      <c r="A407" s="25" t="s">
        <v>743</v>
      </c>
      <c r="C407" s="4" t="s">
        <v>1940</v>
      </c>
      <c r="F407" s="21">
        <v>15270</v>
      </c>
      <c r="G407" s="160">
        <v>15270</v>
      </c>
      <c r="H407" s="166">
        <f t="shared" si="6"/>
        <v>0</v>
      </c>
    </row>
    <row r="408" spans="1:8" x14ac:dyDescent="0.2">
      <c r="A408" s="25" t="s">
        <v>2263</v>
      </c>
      <c r="C408" s="4" t="s">
        <v>2264</v>
      </c>
      <c r="F408" s="21">
        <v>15281</v>
      </c>
      <c r="G408" s="160">
        <v>15281</v>
      </c>
      <c r="H408" s="166">
        <f t="shared" si="6"/>
        <v>0</v>
      </c>
    </row>
    <row r="409" spans="1:8" x14ac:dyDescent="0.2">
      <c r="A409" s="25" t="s">
        <v>2265</v>
      </c>
      <c r="C409" s="4" t="s">
        <v>2048</v>
      </c>
      <c r="F409" s="21">
        <v>15282</v>
      </c>
      <c r="G409" s="160">
        <v>15282</v>
      </c>
      <c r="H409" s="166">
        <f t="shared" si="6"/>
        <v>0</v>
      </c>
    </row>
    <row r="410" spans="1:8" x14ac:dyDescent="0.2">
      <c r="A410" s="20" t="s">
        <v>2266</v>
      </c>
      <c r="C410" s="4" t="s">
        <v>2049</v>
      </c>
      <c r="F410" s="21">
        <v>15283</v>
      </c>
      <c r="G410" s="160">
        <v>15283</v>
      </c>
      <c r="H410" s="166">
        <f t="shared" si="6"/>
        <v>0</v>
      </c>
    </row>
    <row r="411" spans="1:8" x14ac:dyDescent="0.2">
      <c r="A411" s="22" t="s">
        <v>2267</v>
      </c>
      <c r="C411" s="4" t="s">
        <v>2050</v>
      </c>
      <c r="F411" s="21"/>
      <c r="G411" s="160"/>
      <c r="H411" s="166">
        <f t="shared" si="6"/>
        <v>0</v>
      </c>
    </row>
    <row r="412" spans="1:8" x14ac:dyDescent="0.2">
      <c r="A412" s="22" t="s">
        <v>2268</v>
      </c>
      <c r="C412" s="4" t="s">
        <v>2051</v>
      </c>
      <c r="F412" s="21"/>
      <c r="G412" s="160"/>
      <c r="H412" s="166">
        <f t="shared" si="6"/>
        <v>0</v>
      </c>
    </row>
    <row r="413" spans="1:8" x14ac:dyDescent="0.2">
      <c r="A413" s="22" t="s">
        <v>2269</v>
      </c>
      <c r="C413" s="4" t="s">
        <v>1069</v>
      </c>
      <c r="F413" s="21"/>
      <c r="G413" s="160"/>
      <c r="H413" s="166">
        <f t="shared" si="6"/>
        <v>0</v>
      </c>
    </row>
    <row r="414" spans="1:8" x14ac:dyDescent="0.2">
      <c r="A414" s="22" t="s">
        <v>988</v>
      </c>
      <c r="C414" s="4" t="s">
        <v>1071</v>
      </c>
      <c r="F414" s="21">
        <v>15501</v>
      </c>
      <c r="G414" s="160">
        <v>15501</v>
      </c>
      <c r="H414" s="166">
        <f t="shared" si="6"/>
        <v>0</v>
      </c>
    </row>
    <row r="415" spans="1:8" x14ac:dyDescent="0.2">
      <c r="A415" s="20" t="s">
        <v>2270</v>
      </c>
      <c r="C415" s="4" t="s">
        <v>2052</v>
      </c>
      <c r="F415" s="21">
        <v>15502</v>
      </c>
      <c r="G415" s="160">
        <v>15502</v>
      </c>
      <c r="H415" s="166">
        <f t="shared" si="6"/>
        <v>0</v>
      </c>
    </row>
    <row r="416" spans="1:8" x14ac:dyDescent="0.2">
      <c r="A416" s="32" t="s">
        <v>2271</v>
      </c>
      <c r="C416" s="4" t="s">
        <v>1107</v>
      </c>
      <c r="F416" s="21">
        <v>15503</v>
      </c>
      <c r="G416" s="160">
        <v>15503</v>
      </c>
      <c r="H416" s="166">
        <f t="shared" si="6"/>
        <v>0</v>
      </c>
    </row>
    <row r="417" spans="1:8" x14ac:dyDescent="0.2">
      <c r="A417" s="32" t="s">
        <v>754</v>
      </c>
      <c r="C417" s="4" t="s">
        <v>2053</v>
      </c>
      <c r="F417" s="21">
        <v>15511</v>
      </c>
      <c r="G417" s="160">
        <v>15511</v>
      </c>
      <c r="H417" s="166">
        <f t="shared" si="6"/>
        <v>0</v>
      </c>
    </row>
    <row r="418" spans="1:8" x14ac:dyDescent="0.2">
      <c r="A418" s="32" t="s">
        <v>756</v>
      </c>
      <c r="C418" s="4" t="s">
        <v>2272</v>
      </c>
      <c r="F418" s="21">
        <v>15512</v>
      </c>
      <c r="G418" s="160">
        <v>15512</v>
      </c>
      <c r="H418" s="166">
        <f t="shared" si="6"/>
        <v>0</v>
      </c>
    </row>
    <row r="419" spans="1:8" x14ac:dyDescent="0.2">
      <c r="A419" s="22" t="s">
        <v>758</v>
      </c>
      <c r="C419" s="4" t="s">
        <v>1087</v>
      </c>
      <c r="F419" s="21">
        <v>15513</v>
      </c>
      <c r="G419" s="160">
        <v>15513</v>
      </c>
      <c r="H419" s="166">
        <f t="shared" si="6"/>
        <v>0</v>
      </c>
    </row>
    <row r="420" spans="1:8" x14ac:dyDescent="0.2">
      <c r="A420" s="32" t="s">
        <v>2273</v>
      </c>
      <c r="C420" s="4" t="s">
        <v>1089</v>
      </c>
      <c r="F420" s="21">
        <v>15520</v>
      </c>
      <c r="G420" s="160">
        <v>15520</v>
      </c>
      <c r="H420" s="166">
        <f t="shared" si="6"/>
        <v>0</v>
      </c>
    </row>
    <row r="421" spans="1:8" x14ac:dyDescent="0.2">
      <c r="A421" s="32" t="s">
        <v>2274</v>
      </c>
      <c r="C421" s="4" t="s">
        <v>1091</v>
      </c>
      <c r="F421" s="26">
        <v>15525</v>
      </c>
      <c r="G421" s="160">
        <v>15525</v>
      </c>
      <c r="H421" s="166">
        <f t="shared" si="6"/>
        <v>0</v>
      </c>
    </row>
    <row r="422" spans="1:8" x14ac:dyDescent="0.2">
      <c r="A422" s="23" t="s">
        <v>2275</v>
      </c>
      <c r="C422" s="4" t="s">
        <v>1093</v>
      </c>
      <c r="F422" s="26">
        <v>15527</v>
      </c>
      <c r="G422" s="160">
        <v>15527</v>
      </c>
      <c r="H422" s="166">
        <f t="shared" si="6"/>
        <v>0</v>
      </c>
    </row>
    <row r="423" spans="1:8" x14ac:dyDescent="0.2">
      <c r="A423" s="28" t="s">
        <v>2276</v>
      </c>
      <c r="C423" s="4" t="s">
        <v>1095</v>
      </c>
      <c r="F423" s="21"/>
      <c r="G423" s="160"/>
      <c r="H423" s="166">
        <f t="shared" si="6"/>
        <v>0</v>
      </c>
    </row>
    <row r="424" spans="1:8" ht="16.5" x14ac:dyDescent="0.35">
      <c r="A424" s="126" t="s">
        <v>368</v>
      </c>
      <c r="C424" s="4" t="s">
        <v>1097</v>
      </c>
      <c r="F424" s="21">
        <v>15551</v>
      </c>
      <c r="G424" s="160">
        <v>15551</v>
      </c>
      <c r="H424" s="166">
        <f t="shared" si="6"/>
        <v>0</v>
      </c>
    </row>
    <row r="425" spans="1:8" x14ac:dyDescent="0.2">
      <c r="A425" s="122"/>
      <c r="C425" s="4" t="s">
        <v>1109</v>
      </c>
      <c r="F425" s="21">
        <v>15552</v>
      </c>
      <c r="G425" s="160">
        <v>15552</v>
      </c>
      <c r="H425" s="166">
        <f t="shared" si="6"/>
        <v>0</v>
      </c>
    </row>
    <row r="426" spans="1:8" x14ac:dyDescent="0.2">
      <c r="A426" s="128"/>
      <c r="C426" s="4" t="s">
        <v>1111</v>
      </c>
      <c r="F426" s="21">
        <v>15553</v>
      </c>
      <c r="G426" s="160">
        <v>15553</v>
      </c>
      <c r="H426" s="166">
        <f t="shared" si="6"/>
        <v>0</v>
      </c>
    </row>
    <row r="427" spans="1:8" x14ac:dyDescent="0.2">
      <c r="A427" s="122"/>
      <c r="C427" s="4" t="s">
        <v>2054</v>
      </c>
      <c r="F427" s="21">
        <v>15561</v>
      </c>
      <c r="G427" s="160">
        <v>15561</v>
      </c>
      <c r="H427" s="166">
        <f t="shared" si="6"/>
        <v>0</v>
      </c>
    </row>
    <row r="428" spans="1:8" x14ac:dyDescent="0.2">
      <c r="A428" s="32"/>
      <c r="C428" s="4" t="s">
        <v>1101</v>
      </c>
      <c r="F428" s="21">
        <v>15562</v>
      </c>
      <c r="G428" s="160">
        <v>15562</v>
      </c>
      <c r="H428" s="166">
        <f t="shared" si="6"/>
        <v>0</v>
      </c>
    </row>
    <row r="429" spans="1:8" x14ac:dyDescent="0.2">
      <c r="A429" s="32"/>
      <c r="C429" s="4" t="s">
        <v>1099</v>
      </c>
      <c r="F429" s="21">
        <v>15563</v>
      </c>
      <c r="G429" s="160">
        <v>15563</v>
      </c>
      <c r="H429" s="166">
        <f t="shared" si="6"/>
        <v>0</v>
      </c>
    </row>
    <row r="430" spans="1:8" x14ac:dyDescent="0.2">
      <c r="A430" s="32"/>
      <c r="C430" s="4" t="s">
        <v>1103</v>
      </c>
      <c r="F430" s="21">
        <v>15570</v>
      </c>
      <c r="G430" s="160">
        <v>15570</v>
      </c>
      <c r="H430" s="166">
        <f t="shared" si="6"/>
        <v>0</v>
      </c>
    </row>
    <row r="431" spans="1:8" x14ac:dyDescent="0.2">
      <c r="A431" s="32"/>
      <c r="C431" s="4" t="s">
        <v>1105</v>
      </c>
      <c r="F431" s="26">
        <v>15575</v>
      </c>
      <c r="G431" s="160">
        <v>15575</v>
      </c>
      <c r="H431" s="166">
        <f t="shared" si="6"/>
        <v>0</v>
      </c>
    </row>
    <row r="432" spans="1:8" x14ac:dyDescent="0.2">
      <c r="A432" s="37"/>
      <c r="C432" s="4" t="s">
        <v>1117</v>
      </c>
      <c r="F432" s="21"/>
      <c r="G432" s="160"/>
      <c r="H432" s="166">
        <f t="shared" si="6"/>
        <v>0</v>
      </c>
    </row>
    <row r="433" spans="1:8" x14ac:dyDescent="0.2">
      <c r="A433" s="37"/>
      <c r="C433" s="4" t="s">
        <v>2055</v>
      </c>
      <c r="F433" s="21">
        <v>15601</v>
      </c>
      <c r="G433" s="160">
        <v>15601</v>
      </c>
      <c r="H433" s="166">
        <f t="shared" si="6"/>
        <v>0</v>
      </c>
    </row>
    <row r="434" spans="1:8" x14ac:dyDescent="0.2">
      <c r="A434" s="32"/>
      <c r="C434" s="4" t="s">
        <v>2056</v>
      </c>
      <c r="F434" s="21">
        <v>15602</v>
      </c>
      <c r="G434" s="160">
        <v>15602</v>
      </c>
      <c r="H434" s="166">
        <f t="shared" si="6"/>
        <v>0</v>
      </c>
    </row>
    <row r="435" spans="1:8" x14ac:dyDescent="0.2">
      <c r="A435" s="32"/>
      <c r="C435" s="4" t="s">
        <v>1693</v>
      </c>
      <c r="F435" s="21">
        <v>15603</v>
      </c>
      <c r="G435" s="160">
        <v>15603</v>
      </c>
      <c r="H435" s="166">
        <f t="shared" si="6"/>
        <v>0</v>
      </c>
    </row>
    <row r="436" spans="1:8" x14ac:dyDescent="0.2">
      <c r="A436" s="32"/>
      <c r="C436" s="4" t="s">
        <v>450</v>
      </c>
      <c r="F436" s="21">
        <v>15611</v>
      </c>
      <c r="G436" s="160">
        <v>15611</v>
      </c>
      <c r="H436" s="166">
        <f t="shared" si="6"/>
        <v>0</v>
      </c>
    </row>
    <row r="437" spans="1:8" x14ac:dyDescent="0.2">
      <c r="A437" s="32"/>
      <c r="C437" s="4" t="s">
        <v>2057</v>
      </c>
      <c r="F437" s="21">
        <v>15612</v>
      </c>
      <c r="G437" s="160">
        <v>15612</v>
      </c>
      <c r="H437" s="166">
        <f t="shared" si="6"/>
        <v>0</v>
      </c>
    </row>
    <row r="438" spans="1:8" x14ac:dyDescent="0.2">
      <c r="A438" s="32"/>
      <c r="C438" s="4" t="s">
        <v>1712</v>
      </c>
      <c r="F438" s="21">
        <v>15613</v>
      </c>
      <c r="G438" s="160">
        <v>15613</v>
      </c>
      <c r="H438" s="166">
        <f t="shared" si="6"/>
        <v>0</v>
      </c>
    </row>
    <row r="439" spans="1:8" x14ac:dyDescent="0.2">
      <c r="A439" s="32"/>
      <c r="C439" s="4" t="s">
        <v>1714</v>
      </c>
      <c r="F439" s="21">
        <v>15620</v>
      </c>
      <c r="G439" s="160">
        <v>15620</v>
      </c>
      <c r="H439" s="166">
        <f t="shared" si="6"/>
        <v>0</v>
      </c>
    </row>
    <row r="440" spans="1:8" x14ac:dyDescent="0.2">
      <c r="A440" s="32"/>
      <c r="C440" s="4" t="s">
        <v>1723</v>
      </c>
      <c r="F440" s="21">
        <v>15630</v>
      </c>
      <c r="G440" s="160">
        <v>15630</v>
      </c>
      <c r="H440" s="166">
        <f t="shared" si="6"/>
        <v>0</v>
      </c>
    </row>
    <row r="441" spans="1:8" x14ac:dyDescent="0.2">
      <c r="A441" s="32"/>
      <c r="C441" s="4" t="s">
        <v>2058</v>
      </c>
      <c r="F441" s="21">
        <v>15640</v>
      </c>
      <c r="G441" s="160">
        <v>15640</v>
      </c>
      <c r="H441" s="166">
        <f t="shared" si="6"/>
        <v>0</v>
      </c>
    </row>
    <row r="442" spans="1:8" x14ac:dyDescent="0.2">
      <c r="A442" s="32"/>
      <c r="C442" s="4" t="s">
        <v>476</v>
      </c>
      <c r="F442" s="26">
        <v>15645</v>
      </c>
      <c r="G442" s="160">
        <v>15645</v>
      </c>
      <c r="H442" s="166">
        <f t="shared" si="6"/>
        <v>0</v>
      </c>
    </row>
    <row r="443" spans="1:8" x14ac:dyDescent="0.2">
      <c r="A443" s="32"/>
      <c r="C443" s="4" t="s">
        <v>474</v>
      </c>
      <c r="F443" s="26">
        <v>15646</v>
      </c>
      <c r="G443" s="160">
        <v>15646</v>
      </c>
      <c r="H443" s="166">
        <f t="shared" si="6"/>
        <v>0</v>
      </c>
    </row>
    <row r="444" spans="1:8" x14ac:dyDescent="0.2">
      <c r="A444" s="32"/>
      <c r="C444" s="4" t="s">
        <v>2059</v>
      </c>
      <c r="F444" s="26">
        <v>15647</v>
      </c>
      <c r="G444" s="160">
        <v>15647</v>
      </c>
      <c r="H444" s="166">
        <f t="shared" si="6"/>
        <v>0</v>
      </c>
    </row>
    <row r="445" spans="1:8" x14ac:dyDescent="0.2">
      <c r="A445" s="32"/>
      <c r="C445" s="4" t="s">
        <v>1755</v>
      </c>
      <c r="F445" s="21"/>
      <c r="G445" s="160"/>
      <c r="H445" s="166">
        <f t="shared" si="6"/>
        <v>0</v>
      </c>
    </row>
    <row r="446" spans="1:8" x14ac:dyDescent="0.2">
      <c r="A446" s="37"/>
      <c r="C446" s="4" t="s">
        <v>2060</v>
      </c>
      <c r="F446" s="21">
        <v>15651</v>
      </c>
      <c r="G446" s="160">
        <v>15651</v>
      </c>
      <c r="H446" s="166">
        <f t="shared" si="6"/>
        <v>0</v>
      </c>
    </row>
    <row r="447" spans="1:8" x14ac:dyDescent="0.2">
      <c r="A447" s="32"/>
      <c r="C447" s="4" t="s">
        <v>1764</v>
      </c>
      <c r="F447" s="21">
        <v>15652</v>
      </c>
      <c r="G447" s="160">
        <v>15652</v>
      </c>
      <c r="H447" s="166">
        <f t="shared" si="6"/>
        <v>0</v>
      </c>
    </row>
    <row r="448" spans="1:8" x14ac:dyDescent="0.2">
      <c r="A448" s="32"/>
      <c r="C448" s="4" t="s">
        <v>2061</v>
      </c>
      <c r="F448" s="21">
        <v>15653</v>
      </c>
      <c r="G448" s="160">
        <v>15653</v>
      </c>
      <c r="H448" s="166">
        <f t="shared" si="6"/>
        <v>0</v>
      </c>
    </row>
    <row r="449" spans="1:8" x14ac:dyDescent="0.2">
      <c r="A449" s="32"/>
      <c r="C449" s="4" t="s">
        <v>1085</v>
      </c>
      <c r="F449" s="21">
        <v>15661</v>
      </c>
      <c r="G449" s="160">
        <v>15661</v>
      </c>
      <c r="H449" s="166">
        <f t="shared" si="6"/>
        <v>0</v>
      </c>
    </row>
    <row r="450" spans="1:8" x14ac:dyDescent="0.2">
      <c r="A450" s="32"/>
      <c r="C450" s="4" t="s">
        <v>2062</v>
      </c>
      <c r="F450" s="21">
        <v>15662</v>
      </c>
      <c r="G450" s="160">
        <v>15662</v>
      </c>
      <c r="H450" s="166">
        <f t="shared" ref="H450:H489" si="7">F450-G450</f>
        <v>0</v>
      </c>
    </row>
    <row r="451" spans="1:8" x14ac:dyDescent="0.2">
      <c r="A451" s="32"/>
      <c r="C451" s="4" t="s">
        <v>2063</v>
      </c>
      <c r="F451" s="21">
        <v>15663</v>
      </c>
      <c r="G451" s="160">
        <v>15663</v>
      </c>
      <c r="H451" s="166">
        <f t="shared" si="7"/>
        <v>0</v>
      </c>
    </row>
    <row r="452" spans="1:8" x14ac:dyDescent="0.2">
      <c r="A452" s="37"/>
      <c r="C452" s="4" t="s">
        <v>1791</v>
      </c>
      <c r="F452" s="21">
        <v>15670</v>
      </c>
      <c r="G452" s="160">
        <v>15670</v>
      </c>
      <c r="H452" s="166">
        <f t="shared" si="7"/>
        <v>0</v>
      </c>
    </row>
    <row r="453" spans="1:8" x14ac:dyDescent="0.2">
      <c r="A453" s="32"/>
      <c r="C453" s="4" t="s">
        <v>2064</v>
      </c>
      <c r="F453" s="21"/>
      <c r="G453" s="160"/>
      <c r="H453" s="166">
        <f t="shared" si="7"/>
        <v>0</v>
      </c>
    </row>
    <row r="454" spans="1:8" x14ac:dyDescent="0.2">
      <c r="A454" s="32"/>
      <c r="C454" s="4" t="s">
        <v>1794</v>
      </c>
      <c r="F454" s="21">
        <v>15705</v>
      </c>
      <c r="G454" s="160">
        <v>15705</v>
      </c>
      <c r="H454" s="166">
        <f t="shared" si="7"/>
        <v>0</v>
      </c>
    </row>
    <row r="455" spans="1:8" x14ac:dyDescent="0.2">
      <c r="A455" s="32"/>
      <c r="C455" s="4" t="s">
        <v>1145</v>
      </c>
      <c r="F455" s="26">
        <v>15707</v>
      </c>
      <c r="G455" s="160">
        <v>15707</v>
      </c>
      <c r="H455" s="166">
        <f t="shared" si="7"/>
        <v>0</v>
      </c>
    </row>
    <row r="456" spans="1:8" x14ac:dyDescent="0.2">
      <c r="A456" s="32"/>
      <c r="C456" s="4" t="s">
        <v>1789</v>
      </c>
      <c r="F456" s="26">
        <v>15710</v>
      </c>
      <c r="G456" s="160">
        <v>15710</v>
      </c>
      <c r="H456" s="166">
        <f t="shared" si="7"/>
        <v>0</v>
      </c>
    </row>
    <row r="457" spans="1:8" x14ac:dyDescent="0.2">
      <c r="A457" s="34"/>
      <c r="C457" s="4" t="s">
        <v>2065</v>
      </c>
      <c r="F457" s="26">
        <v>15713</v>
      </c>
      <c r="G457" s="160">
        <v>15713</v>
      </c>
      <c r="H457" s="166">
        <f t="shared" si="7"/>
        <v>0</v>
      </c>
    </row>
    <row r="458" spans="1:8" x14ac:dyDescent="0.2">
      <c r="A458" s="34"/>
      <c r="C458" s="4" t="s">
        <v>2066</v>
      </c>
      <c r="F458" s="31"/>
      <c r="G458" s="159"/>
      <c r="H458" s="166">
        <f t="shared" si="7"/>
        <v>0</v>
      </c>
    </row>
    <row r="459" spans="1:8" x14ac:dyDescent="0.2">
      <c r="A459" s="34"/>
      <c r="C459" s="4" t="s">
        <v>2067</v>
      </c>
      <c r="F459" s="31" t="s">
        <v>86</v>
      </c>
      <c r="G459" s="159" t="s">
        <v>86</v>
      </c>
      <c r="H459" s="166" t="e">
        <f t="shared" si="7"/>
        <v>#VALUE!</v>
      </c>
    </row>
    <row r="460" spans="1:8" x14ac:dyDescent="0.2">
      <c r="A460" s="34"/>
      <c r="C460" s="4" t="s">
        <v>2068</v>
      </c>
      <c r="F460" s="31">
        <v>10920</v>
      </c>
      <c r="G460" s="159">
        <v>10920</v>
      </c>
      <c r="H460" s="166">
        <f t="shared" si="7"/>
        <v>0</v>
      </c>
    </row>
    <row r="461" spans="1:8" x14ac:dyDescent="0.2">
      <c r="A461" s="34"/>
      <c r="C461" s="4" t="s">
        <v>2069</v>
      </c>
      <c r="F461" s="31">
        <v>10930</v>
      </c>
      <c r="G461" s="159">
        <v>10930</v>
      </c>
      <c r="H461" s="166">
        <f t="shared" si="7"/>
        <v>0</v>
      </c>
    </row>
    <row r="462" spans="1:8" x14ac:dyDescent="0.2">
      <c r="A462" s="37"/>
      <c r="C462" s="4" t="s">
        <v>2070</v>
      </c>
      <c r="F462" s="31">
        <v>10935</v>
      </c>
      <c r="G462" s="159">
        <v>10935</v>
      </c>
      <c r="H462" s="166">
        <f t="shared" si="7"/>
        <v>0</v>
      </c>
    </row>
    <row r="463" spans="1:8" x14ac:dyDescent="0.2">
      <c r="A463" s="37"/>
      <c r="C463" s="4" t="s">
        <v>1151</v>
      </c>
      <c r="F463" s="31">
        <v>10955</v>
      </c>
      <c r="G463" s="159">
        <v>10955</v>
      </c>
      <c r="H463" s="166">
        <f t="shared" si="7"/>
        <v>0</v>
      </c>
    </row>
    <row r="464" spans="1:8" x14ac:dyDescent="0.2">
      <c r="A464" s="37"/>
      <c r="C464" s="4" t="s">
        <v>1153</v>
      </c>
      <c r="F464" s="31"/>
      <c r="G464" s="159"/>
      <c r="H464" s="166">
        <f t="shared" si="7"/>
        <v>0</v>
      </c>
    </row>
    <row r="465" spans="1:8" x14ac:dyDescent="0.2">
      <c r="A465" s="32"/>
      <c r="C465" s="4" t="s">
        <v>2071</v>
      </c>
      <c r="F465" s="31"/>
      <c r="G465" s="159"/>
      <c r="H465" s="166">
        <f t="shared" si="7"/>
        <v>0</v>
      </c>
    </row>
    <row r="466" spans="1:8" x14ac:dyDescent="0.2">
      <c r="A466" s="32"/>
      <c r="C466" s="4" t="s">
        <v>2072</v>
      </c>
      <c r="F466" s="31"/>
      <c r="G466" s="159"/>
      <c r="H466" s="166">
        <f t="shared" si="7"/>
        <v>0</v>
      </c>
    </row>
    <row r="467" spans="1:8" x14ac:dyDescent="0.2">
      <c r="A467" s="32"/>
      <c r="C467" s="4" t="s">
        <v>2073</v>
      </c>
      <c r="F467" s="31">
        <v>13010</v>
      </c>
      <c r="G467" s="159">
        <v>13010</v>
      </c>
      <c r="H467" s="166">
        <f t="shared" si="7"/>
        <v>0</v>
      </c>
    </row>
    <row r="468" spans="1:8" x14ac:dyDescent="0.2">
      <c r="A468" s="32"/>
      <c r="C468" s="4" t="s">
        <v>2074</v>
      </c>
      <c r="F468" s="31">
        <v>13020</v>
      </c>
      <c r="G468" s="159">
        <v>13020</v>
      </c>
      <c r="H468" s="166">
        <f t="shared" si="7"/>
        <v>0</v>
      </c>
    </row>
    <row r="469" spans="1:8" x14ac:dyDescent="0.2">
      <c r="A469" s="37"/>
      <c r="C469" s="4" t="s">
        <v>2277</v>
      </c>
      <c r="F469" s="31">
        <v>13030</v>
      </c>
      <c r="G469" s="159">
        <v>13030</v>
      </c>
      <c r="H469" s="166">
        <f t="shared" si="7"/>
        <v>0</v>
      </c>
    </row>
    <row r="470" spans="1:8" x14ac:dyDescent="0.2">
      <c r="A470" s="32"/>
      <c r="C470" s="4" t="s">
        <v>2278</v>
      </c>
      <c r="F470" s="31">
        <v>13040</v>
      </c>
      <c r="G470" s="159">
        <v>13040</v>
      </c>
      <c r="H470" s="166">
        <f t="shared" si="7"/>
        <v>0</v>
      </c>
    </row>
    <row r="471" spans="1:8" x14ac:dyDescent="0.2">
      <c r="A471" s="32"/>
      <c r="C471" s="4" t="s">
        <v>2075</v>
      </c>
      <c r="F471" s="31">
        <v>13050</v>
      </c>
      <c r="G471" s="159">
        <v>13050</v>
      </c>
      <c r="H471" s="166">
        <f t="shared" si="7"/>
        <v>0</v>
      </c>
    </row>
    <row r="472" spans="1:8" x14ac:dyDescent="0.2">
      <c r="A472" s="32"/>
      <c r="C472" s="4" t="s">
        <v>2279</v>
      </c>
      <c r="F472" s="31">
        <v>13060</v>
      </c>
      <c r="G472" s="159">
        <v>13060</v>
      </c>
      <c r="H472" s="166">
        <f t="shared" si="7"/>
        <v>0</v>
      </c>
    </row>
    <row r="473" spans="1:8" x14ac:dyDescent="0.2">
      <c r="A473" s="32"/>
      <c r="C473" s="4" t="s">
        <v>2076</v>
      </c>
      <c r="F473" s="31">
        <v>13070</v>
      </c>
      <c r="G473" s="159">
        <v>13070</v>
      </c>
      <c r="H473" s="166">
        <f t="shared" si="7"/>
        <v>0</v>
      </c>
    </row>
    <row r="474" spans="1:8" x14ac:dyDescent="0.2">
      <c r="A474" s="32"/>
      <c r="C474" s="4" t="s">
        <v>2077</v>
      </c>
      <c r="F474" s="31">
        <v>13080</v>
      </c>
      <c r="G474" s="159">
        <v>13080</v>
      </c>
      <c r="H474" s="166">
        <f t="shared" si="7"/>
        <v>0</v>
      </c>
    </row>
    <row r="475" spans="1:8" x14ac:dyDescent="0.2">
      <c r="A475" s="32"/>
      <c r="C475" s="4" t="s">
        <v>2280</v>
      </c>
      <c r="F475" s="31">
        <v>13081</v>
      </c>
      <c r="G475" s="159">
        <v>13081</v>
      </c>
      <c r="H475" s="166">
        <f t="shared" si="7"/>
        <v>0</v>
      </c>
    </row>
    <row r="476" spans="1:8" x14ac:dyDescent="0.2">
      <c r="A476" s="32"/>
      <c r="C476" s="4" t="s">
        <v>2281</v>
      </c>
      <c r="F476" s="31">
        <v>13090</v>
      </c>
      <c r="G476" s="159">
        <v>13090</v>
      </c>
      <c r="H476" s="166">
        <f t="shared" si="7"/>
        <v>0</v>
      </c>
    </row>
    <row r="477" spans="1:8" x14ac:dyDescent="0.2">
      <c r="A477" s="32"/>
      <c r="C477" s="4" t="s">
        <v>1440</v>
      </c>
      <c r="F477" s="31">
        <v>13091</v>
      </c>
      <c r="G477" s="159">
        <v>13091</v>
      </c>
      <c r="H477" s="166">
        <f t="shared" si="7"/>
        <v>0</v>
      </c>
    </row>
    <row r="478" spans="1:8" x14ac:dyDescent="0.2">
      <c r="A478" s="32"/>
      <c r="C478" s="4" t="s">
        <v>1442</v>
      </c>
      <c r="F478" s="31">
        <v>13092</v>
      </c>
      <c r="G478" s="159">
        <v>13092</v>
      </c>
      <c r="H478" s="166">
        <f t="shared" si="7"/>
        <v>0</v>
      </c>
    </row>
    <row r="479" spans="1:8" x14ac:dyDescent="0.2">
      <c r="A479" s="32"/>
      <c r="C479" s="4" t="s">
        <v>2078</v>
      </c>
      <c r="F479" s="31">
        <v>13093</v>
      </c>
      <c r="G479" s="159">
        <v>13093</v>
      </c>
      <c r="H479" s="166">
        <f t="shared" si="7"/>
        <v>0</v>
      </c>
    </row>
    <row r="480" spans="1:8" x14ac:dyDescent="0.2">
      <c r="A480" s="32"/>
      <c r="C480" s="4" t="s">
        <v>2282</v>
      </c>
      <c r="F480" s="31">
        <v>13094</v>
      </c>
      <c r="G480" s="159">
        <v>13094</v>
      </c>
      <c r="H480" s="166">
        <f t="shared" si="7"/>
        <v>0</v>
      </c>
    </row>
    <row r="481" spans="1:8" x14ac:dyDescent="0.2">
      <c r="A481" s="32"/>
      <c r="C481" s="4" t="s">
        <v>2283</v>
      </c>
      <c r="F481" s="31">
        <v>13140</v>
      </c>
      <c r="G481" s="159">
        <v>13140</v>
      </c>
      <c r="H481" s="166">
        <f t="shared" si="7"/>
        <v>0</v>
      </c>
    </row>
    <row r="482" spans="1:8" x14ac:dyDescent="0.2">
      <c r="A482" s="120"/>
      <c r="C482" s="4" t="s">
        <v>2284</v>
      </c>
      <c r="F482" s="31">
        <v>13200</v>
      </c>
      <c r="G482" s="159">
        <v>13200</v>
      </c>
      <c r="H482" s="166">
        <f t="shared" si="7"/>
        <v>0</v>
      </c>
    </row>
    <row r="483" spans="1:8" x14ac:dyDescent="0.2">
      <c r="A483" s="32"/>
      <c r="C483" s="4" t="s">
        <v>2285</v>
      </c>
      <c r="F483" s="29"/>
      <c r="G483" s="159"/>
      <c r="H483" s="166">
        <f t="shared" si="7"/>
        <v>0</v>
      </c>
    </row>
    <row r="484" spans="1:8" x14ac:dyDescent="0.2">
      <c r="A484" s="32"/>
      <c r="C484" s="4" t="s">
        <v>2079</v>
      </c>
      <c r="F484" s="31">
        <v>11540</v>
      </c>
      <c r="G484" s="159">
        <v>11540</v>
      </c>
      <c r="H484" s="166">
        <f t="shared" si="7"/>
        <v>0</v>
      </c>
    </row>
    <row r="485" spans="1:8" x14ac:dyDescent="0.2">
      <c r="A485" s="32"/>
      <c r="C485" s="4" t="s">
        <v>1166</v>
      </c>
      <c r="F485" s="31">
        <v>13220</v>
      </c>
      <c r="G485" s="159">
        <v>13220</v>
      </c>
      <c r="H485" s="166">
        <f t="shared" si="7"/>
        <v>0</v>
      </c>
    </row>
    <row r="486" spans="1:8" x14ac:dyDescent="0.2">
      <c r="A486" s="32"/>
      <c r="C486" s="4" t="s">
        <v>1168</v>
      </c>
      <c r="F486" s="31">
        <v>13230</v>
      </c>
      <c r="G486" s="159">
        <v>13230</v>
      </c>
      <c r="H486" s="166">
        <f t="shared" si="7"/>
        <v>0</v>
      </c>
    </row>
    <row r="487" spans="1:8" x14ac:dyDescent="0.2">
      <c r="A487" s="23"/>
      <c r="C487" s="4" t="s">
        <v>1170</v>
      </c>
      <c r="F487" s="29">
        <v>13250</v>
      </c>
      <c r="G487" s="159">
        <v>13250</v>
      </c>
      <c r="H487" s="166">
        <f t="shared" si="7"/>
        <v>0</v>
      </c>
    </row>
    <row r="488" spans="1:8" x14ac:dyDescent="0.2">
      <c r="A488" s="23"/>
      <c r="C488" s="4" t="s">
        <v>2080</v>
      </c>
      <c r="F488" s="29">
        <v>13255</v>
      </c>
      <c r="G488" s="159">
        <v>13255</v>
      </c>
      <c r="H488" s="166">
        <f t="shared" si="7"/>
        <v>0</v>
      </c>
    </row>
    <row r="489" spans="1:8" ht="15" thickBot="1" x14ac:dyDescent="0.25">
      <c r="A489" s="22"/>
      <c r="C489" s="4" t="s">
        <v>1133</v>
      </c>
      <c r="F489" s="31">
        <v>13145</v>
      </c>
      <c r="G489" s="158">
        <v>13145</v>
      </c>
      <c r="H489" s="166">
        <f t="shared" si="7"/>
        <v>0</v>
      </c>
    </row>
    <row r="490" spans="1:8" x14ac:dyDescent="0.2">
      <c r="A490" s="32"/>
      <c r="C490" s="4" t="s">
        <v>1162</v>
      </c>
      <c r="F490" s="31"/>
      <c r="H490" s="166">
        <f>F486-G491</f>
        <v>12833</v>
      </c>
    </row>
    <row r="491" spans="1:8" x14ac:dyDescent="0.2">
      <c r="A491" s="32"/>
      <c r="C491" s="4" t="s">
        <v>1164</v>
      </c>
      <c r="F491" s="31"/>
      <c r="G491" s="165">
        <v>397</v>
      </c>
      <c r="H491" s="166">
        <f>F487-G492</f>
        <v>13250</v>
      </c>
    </row>
    <row r="492" spans="1:8" x14ac:dyDescent="0.2">
      <c r="A492" s="32"/>
      <c r="C492" s="4" t="s">
        <v>2286</v>
      </c>
      <c r="F492" s="31"/>
      <c r="H492" s="166">
        <f>F488-G493</f>
        <v>13255</v>
      </c>
    </row>
    <row r="493" spans="1:8" x14ac:dyDescent="0.2">
      <c r="A493" s="32"/>
      <c r="C493" s="4" t="s">
        <v>2287</v>
      </c>
      <c r="F493" s="31"/>
      <c r="H493" s="166">
        <f>F489-G494</f>
        <v>13145</v>
      </c>
    </row>
    <row r="494" spans="1:8" x14ac:dyDescent="0.2">
      <c r="A494" s="32"/>
      <c r="C494" s="4" t="s">
        <v>2220</v>
      </c>
      <c r="F494" s="31"/>
    </row>
    <row r="495" spans="1:8" x14ac:dyDescent="0.2">
      <c r="A495" s="22"/>
      <c r="C495" s="5" t="s">
        <v>2221</v>
      </c>
      <c r="F495" s="31"/>
    </row>
    <row r="496" spans="1:8" x14ac:dyDescent="0.2">
      <c r="A496" s="41"/>
      <c r="C496" s="5" t="s">
        <v>2222</v>
      </c>
      <c r="F496" s="31"/>
    </row>
    <row r="497" spans="1:6" x14ac:dyDescent="0.2">
      <c r="A497" s="41"/>
      <c r="C497" s="4" t="s">
        <v>2223</v>
      </c>
      <c r="F497" s="31"/>
    </row>
    <row r="498" spans="1:6" x14ac:dyDescent="0.2">
      <c r="A498" s="32"/>
      <c r="C498" s="4" t="s">
        <v>2224</v>
      </c>
      <c r="F498" s="31"/>
    </row>
    <row r="499" spans="1:6" x14ac:dyDescent="0.2">
      <c r="A499" s="22"/>
      <c r="C499" s="4" t="s">
        <v>2225</v>
      </c>
      <c r="F499" s="31"/>
    </row>
    <row r="500" spans="1:6" x14ac:dyDescent="0.2">
      <c r="A500" s="28"/>
      <c r="C500" s="4" t="s">
        <v>2227</v>
      </c>
      <c r="F500" s="31"/>
    </row>
    <row r="501" spans="1:6" x14ac:dyDescent="0.2">
      <c r="A501" s="28"/>
      <c r="C501" s="4" t="s">
        <v>2228</v>
      </c>
      <c r="F501" s="31"/>
    </row>
    <row r="502" spans="1:6" x14ac:dyDescent="0.2">
      <c r="A502" s="23"/>
      <c r="C502" s="4" t="s">
        <v>2229</v>
      </c>
      <c r="F502" s="31"/>
    </row>
    <row r="503" spans="1:6" x14ac:dyDescent="0.2">
      <c r="A503" s="23"/>
      <c r="C503" s="4" t="s">
        <v>2232</v>
      </c>
      <c r="F503" s="31"/>
    </row>
    <row r="504" spans="1:6" x14ac:dyDescent="0.2">
      <c r="A504" s="23"/>
      <c r="C504" s="4" t="s">
        <v>2081</v>
      </c>
      <c r="F504" s="31"/>
    </row>
    <row r="505" spans="1:6" x14ac:dyDescent="0.2">
      <c r="A505" s="23"/>
      <c r="C505" s="4" t="s">
        <v>2082</v>
      </c>
      <c r="F505" s="31"/>
    </row>
    <row r="506" spans="1:6" x14ac:dyDescent="0.2">
      <c r="A506" s="23"/>
      <c r="C506" s="4" t="s">
        <v>2288</v>
      </c>
      <c r="F506" s="31"/>
    </row>
    <row r="507" spans="1:6" x14ac:dyDescent="0.2">
      <c r="A507" s="23"/>
      <c r="C507" s="4" t="s">
        <v>2083</v>
      </c>
      <c r="F507" s="31"/>
    </row>
    <row r="508" spans="1:6" x14ac:dyDescent="0.2">
      <c r="A508" s="42"/>
      <c r="C508" s="4" t="s">
        <v>2084</v>
      </c>
      <c r="F508" s="31"/>
    </row>
    <row r="509" spans="1:6" x14ac:dyDescent="0.2">
      <c r="A509" s="33"/>
      <c r="C509" s="4" t="s">
        <v>2085</v>
      </c>
      <c r="F509" s="31"/>
    </row>
    <row r="510" spans="1:6" x14ac:dyDescent="0.2">
      <c r="A510" s="23"/>
      <c r="C510" s="4" t="s">
        <v>2289</v>
      </c>
      <c r="F510" s="31"/>
    </row>
    <row r="511" spans="1:6" x14ac:dyDescent="0.2">
      <c r="A511" s="33"/>
      <c r="C511" s="4" t="s">
        <v>2086</v>
      </c>
      <c r="F511" s="31"/>
    </row>
    <row r="512" spans="1:6" x14ac:dyDescent="0.2">
      <c r="A512" s="43"/>
      <c r="C512" s="4" t="s">
        <v>2087</v>
      </c>
      <c r="F512" s="31"/>
    </row>
    <row r="513" spans="1:6" x14ac:dyDescent="0.2">
      <c r="A513" s="23"/>
      <c r="C513" s="4" t="s">
        <v>2088</v>
      </c>
      <c r="F513" s="31"/>
    </row>
    <row r="514" spans="1:6" x14ac:dyDescent="0.2">
      <c r="A514" s="23"/>
      <c r="C514" s="4" t="s">
        <v>2089</v>
      </c>
      <c r="F514" s="31"/>
    </row>
    <row r="515" spans="1:6" x14ac:dyDescent="0.2">
      <c r="A515" s="23"/>
      <c r="C515" s="4" t="s">
        <v>2290</v>
      </c>
      <c r="F515" s="31"/>
    </row>
    <row r="516" spans="1:6" x14ac:dyDescent="0.2">
      <c r="A516" s="23"/>
      <c r="C516" s="4" t="s">
        <v>2090</v>
      </c>
      <c r="F516" s="31"/>
    </row>
    <row r="517" spans="1:6" x14ac:dyDescent="0.2">
      <c r="A517" s="23"/>
      <c r="C517" s="4" t="s">
        <v>2091</v>
      </c>
      <c r="F517" s="31"/>
    </row>
    <row r="518" spans="1:6" x14ac:dyDescent="0.2">
      <c r="A518" s="23"/>
      <c r="C518" s="4" t="s">
        <v>2291</v>
      </c>
      <c r="F518" s="31"/>
    </row>
    <row r="519" spans="1:6" x14ac:dyDescent="0.2">
      <c r="A519" s="23"/>
      <c r="C519" s="4" t="s">
        <v>1444</v>
      </c>
      <c r="F519" s="31"/>
    </row>
    <row r="520" spans="1:6" x14ac:dyDescent="0.2">
      <c r="A520" s="23"/>
      <c r="C520" s="4" t="s">
        <v>2092</v>
      </c>
      <c r="F520" s="31"/>
    </row>
    <row r="521" spans="1:6" x14ac:dyDescent="0.2">
      <c r="A521" s="23"/>
      <c r="C521" s="4" t="s">
        <v>2292</v>
      </c>
      <c r="F521" s="31"/>
    </row>
    <row r="522" spans="1:6" x14ac:dyDescent="0.2">
      <c r="A522" s="23"/>
      <c r="C522" s="4" t="s">
        <v>2093</v>
      </c>
      <c r="F522" s="31"/>
    </row>
    <row r="523" spans="1:6" x14ac:dyDescent="0.2">
      <c r="A523" s="23"/>
      <c r="C523" s="4" t="s">
        <v>2094</v>
      </c>
      <c r="F523" s="31"/>
    </row>
    <row r="524" spans="1:6" x14ac:dyDescent="0.2">
      <c r="A524" s="23"/>
      <c r="C524" s="4" t="s">
        <v>1177</v>
      </c>
      <c r="F524" s="31"/>
    </row>
    <row r="525" spans="1:6" x14ac:dyDescent="0.2">
      <c r="A525" s="33"/>
      <c r="C525" s="4" t="s">
        <v>770</v>
      </c>
      <c r="F525" s="21"/>
    </row>
    <row r="526" spans="1:6" x14ac:dyDescent="0.2">
      <c r="A526" s="25"/>
      <c r="C526" s="4" t="s">
        <v>768</v>
      </c>
      <c r="F526" s="21"/>
    </row>
    <row r="527" spans="1:6" x14ac:dyDescent="0.2">
      <c r="A527" s="28"/>
      <c r="C527" s="4" t="s">
        <v>2095</v>
      </c>
      <c r="F527" s="29"/>
    </row>
    <row r="528" spans="1:6" x14ac:dyDescent="0.2">
      <c r="A528" s="28"/>
      <c r="C528" s="5" t="s">
        <v>2293</v>
      </c>
      <c r="F528" s="21"/>
    </row>
    <row r="529" spans="1:6" x14ac:dyDescent="0.2">
      <c r="A529" s="25"/>
      <c r="C529" s="4" t="s">
        <v>1123</v>
      </c>
      <c r="F529" s="21"/>
    </row>
    <row r="530" spans="1:6" x14ac:dyDescent="0.2">
      <c r="A530" s="25"/>
      <c r="C530" s="4" t="s">
        <v>1508</v>
      </c>
      <c r="F530" s="21"/>
    </row>
    <row r="531" spans="1:6" x14ac:dyDescent="0.2">
      <c r="A531" s="22"/>
      <c r="C531" s="4" t="s">
        <v>2097</v>
      </c>
      <c r="F531" s="21"/>
    </row>
    <row r="532" spans="1:6" x14ac:dyDescent="0.2">
      <c r="A532" s="28"/>
      <c r="C532" s="4" t="s">
        <v>2098</v>
      </c>
      <c r="F532" s="21"/>
    </row>
    <row r="533" spans="1:6" x14ac:dyDescent="0.2">
      <c r="A533" s="28"/>
      <c r="C533" s="4" t="s">
        <v>2099</v>
      </c>
      <c r="F533" s="21"/>
    </row>
    <row r="534" spans="1:6" x14ac:dyDescent="0.2">
      <c r="A534" s="28"/>
      <c r="C534" s="4" t="s">
        <v>2100</v>
      </c>
      <c r="F534" s="21"/>
    </row>
    <row r="535" spans="1:6" x14ac:dyDescent="0.2">
      <c r="A535" s="30"/>
      <c r="C535" s="4" t="s">
        <v>2101</v>
      </c>
      <c r="F535" s="21"/>
    </row>
    <row r="536" spans="1:6" x14ac:dyDescent="0.2">
      <c r="A536" s="28"/>
      <c r="C536" s="4" t="s">
        <v>371</v>
      </c>
      <c r="F536" s="21"/>
    </row>
    <row r="537" spans="1:6" x14ac:dyDescent="0.2">
      <c r="A537" s="28"/>
      <c r="C537" s="4" t="s">
        <v>369</v>
      </c>
      <c r="F537" s="21"/>
    </row>
    <row r="538" spans="1:6" x14ac:dyDescent="0.2">
      <c r="A538" s="28"/>
      <c r="C538" s="4" t="s">
        <v>2294</v>
      </c>
      <c r="F538" s="21"/>
    </row>
    <row r="539" spans="1:6" x14ac:dyDescent="0.2">
      <c r="A539" s="37"/>
      <c r="C539" s="4" t="s">
        <v>2295</v>
      </c>
      <c r="F539" s="21"/>
    </row>
    <row r="540" spans="1:6" x14ac:dyDescent="0.2">
      <c r="A540" s="32"/>
      <c r="C540" s="4" t="s">
        <v>2296</v>
      </c>
      <c r="F540" s="21"/>
    </row>
    <row r="541" spans="1:6" x14ac:dyDescent="0.2">
      <c r="A541" s="22"/>
      <c r="C541" s="4" t="s">
        <v>2297</v>
      </c>
      <c r="F541" s="21"/>
    </row>
    <row r="542" spans="1:6" x14ac:dyDescent="0.2">
      <c r="A542" s="22"/>
      <c r="C542" s="4" t="s">
        <v>2298</v>
      </c>
      <c r="F542" s="21"/>
    </row>
    <row r="543" spans="1:6" x14ac:dyDescent="0.2">
      <c r="A543" s="22"/>
      <c r="C543" s="4" t="s">
        <v>871</v>
      </c>
      <c r="F543" s="21"/>
    </row>
    <row r="544" spans="1:6" x14ac:dyDescent="0.2">
      <c r="A544" s="22"/>
      <c r="C544" s="4" t="s">
        <v>2299</v>
      </c>
      <c r="F544" s="21"/>
    </row>
    <row r="545" spans="1:6" x14ac:dyDescent="0.2">
      <c r="A545" s="20"/>
      <c r="C545" s="4" t="s">
        <v>2300</v>
      </c>
      <c r="F545" s="21"/>
    </row>
    <row r="546" spans="1:6" x14ac:dyDescent="0.2">
      <c r="A546" s="22"/>
      <c r="C546" s="4" t="s">
        <v>2301</v>
      </c>
      <c r="F546" s="21"/>
    </row>
    <row r="547" spans="1:6" x14ac:dyDescent="0.2">
      <c r="A547" s="22"/>
      <c r="C547" s="4" t="s">
        <v>2302</v>
      </c>
      <c r="F547" s="21"/>
    </row>
    <row r="548" spans="1:6" x14ac:dyDescent="0.2">
      <c r="A548" s="22"/>
      <c r="C548" s="4" t="s">
        <v>2303</v>
      </c>
      <c r="F548" s="21"/>
    </row>
    <row r="549" spans="1:6" x14ac:dyDescent="0.2">
      <c r="A549" s="22"/>
      <c r="C549" s="4" t="s">
        <v>377</v>
      </c>
      <c r="F549" s="21"/>
    </row>
    <row r="550" spans="1:6" x14ac:dyDescent="0.2">
      <c r="A550" s="20"/>
      <c r="C550" s="4" t="s">
        <v>2304</v>
      </c>
      <c r="F550" s="21"/>
    </row>
    <row r="551" spans="1:6" x14ac:dyDescent="0.2">
      <c r="A551" s="22"/>
      <c r="C551" s="4" t="s">
        <v>379</v>
      </c>
      <c r="F551" s="21"/>
    </row>
    <row r="552" spans="1:6" x14ac:dyDescent="0.2">
      <c r="A552" s="22"/>
      <c r="C552" s="4" t="s">
        <v>2305</v>
      </c>
      <c r="F552" s="21"/>
    </row>
    <row r="553" spans="1:6" x14ac:dyDescent="0.2">
      <c r="A553" s="22"/>
      <c r="C553" s="4" t="s">
        <v>2306</v>
      </c>
      <c r="F553" s="21"/>
    </row>
    <row r="554" spans="1:6" x14ac:dyDescent="0.2">
      <c r="A554" s="32"/>
      <c r="C554" s="4" t="s">
        <v>381</v>
      </c>
      <c r="F554" s="21"/>
    </row>
    <row r="555" spans="1:6" x14ac:dyDescent="0.2">
      <c r="A555" s="32"/>
      <c r="C555" s="4" t="s">
        <v>383</v>
      </c>
      <c r="F555" s="21"/>
    </row>
    <row r="556" spans="1:6" x14ac:dyDescent="0.2">
      <c r="A556" s="32"/>
      <c r="C556" s="4" t="s">
        <v>2307</v>
      </c>
      <c r="F556" s="21"/>
    </row>
    <row r="557" spans="1:6" x14ac:dyDescent="0.2">
      <c r="A557" s="22"/>
      <c r="C557" s="4" t="s">
        <v>2308</v>
      </c>
      <c r="F557" s="21"/>
    </row>
    <row r="558" spans="1:6" x14ac:dyDescent="0.2">
      <c r="A558" s="22"/>
      <c r="C558" s="4" t="s">
        <v>387</v>
      </c>
      <c r="F558" s="21"/>
    </row>
    <row r="559" spans="1:6" x14ac:dyDescent="0.2">
      <c r="A559" s="22"/>
      <c r="C559" s="4" t="s">
        <v>693</v>
      </c>
      <c r="F559" s="21"/>
    </row>
    <row r="560" spans="1:6" x14ac:dyDescent="0.2">
      <c r="A560" s="22"/>
      <c r="C560" s="4" t="s">
        <v>2309</v>
      </c>
      <c r="F560" s="21"/>
    </row>
    <row r="561" spans="1:6" x14ac:dyDescent="0.2">
      <c r="A561" s="22"/>
      <c r="C561" s="4" t="s">
        <v>2310</v>
      </c>
      <c r="F561" s="21"/>
    </row>
    <row r="562" spans="1:6" x14ac:dyDescent="0.2">
      <c r="A562" s="22"/>
      <c r="C562" s="4" t="s">
        <v>747</v>
      </c>
      <c r="F562" s="21"/>
    </row>
    <row r="563" spans="1:6" x14ac:dyDescent="0.2">
      <c r="A563" s="22"/>
      <c r="C563" s="4" t="s">
        <v>392</v>
      </c>
      <c r="F563" s="21"/>
    </row>
    <row r="564" spans="1:6" x14ac:dyDescent="0.2">
      <c r="A564" s="22"/>
      <c r="C564" s="4" t="s">
        <v>394</v>
      </c>
      <c r="F564" s="21"/>
    </row>
    <row r="565" spans="1:6" x14ac:dyDescent="0.2">
      <c r="A565" s="22"/>
      <c r="C565" s="4" t="s">
        <v>396</v>
      </c>
      <c r="F565" s="21"/>
    </row>
    <row r="566" spans="1:6" x14ac:dyDescent="0.2">
      <c r="A566" s="22"/>
      <c r="C566" s="4" t="s">
        <v>2311</v>
      </c>
      <c r="F566" s="21"/>
    </row>
    <row r="567" spans="1:6" x14ac:dyDescent="0.2">
      <c r="A567" s="22"/>
      <c r="C567" s="4" t="s">
        <v>2312</v>
      </c>
      <c r="F567" s="21"/>
    </row>
    <row r="568" spans="1:6" x14ac:dyDescent="0.2">
      <c r="A568" s="22"/>
      <c r="C568" s="4" t="s">
        <v>2313</v>
      </c>
      <c r="F568" s="21"/>
    </row>
    <row r="569" spans="1:6" x14ac:dyDescent="0.2">
      <c r="A569" s="22"/>
      <c r="C569" s="4" t="s">
        <v>2314</v>
      </c>
      <c r="F569" s="21"/>
    </row>
    <row r="570" spans="1:6" x14ac:dyDescent="0.2">
      <c r="A570" s="22"/>
      <c r="C570" s="4" t="s">
        <v>404</v>
      </c>
      <c r="F570" s="21"/>
    </row>
    <row r="571" spans="1:6" x14ac:dyDescent="0.2">
      <c r="A571" s="22"/>
      <c r="C571" s="4" t="s">
        <v>2315</v>
      </c>
      <c r="F571" s="21"/>
    </row>
    <row r="572" spans="1:6" x14ac:dyDescent="0.2">
      <c r="A572" s="22"/>
      <c r="C572" s="4" t="s">
        <v>2316</v>
      </c>
      <c r="F572" s="21"/>
    </row>
    <row r="573" spans="1:6" x14ac:dyDescent="0.2">
      <c r="A573" s="22"/>
      <c r="C573" s="4" t="s">
        <v>874</v>
      </c>
      <c r="F573" s="21"/>
    </row>
    <row r="574" spans="1:6" x14ac:dyDescent="0.2">
      <c r="A574" s="22"/>
      <c r="C574" s="4" t="s">
        <v>406</v>
      </c>
      <c r="F574" s="21"/>
    </row>
    <row r="575" spans="1:6" x14ac:dyDescent="0.2">
      <c r="A575" s="22"/>
      <c r="C575" s="4" t="s">
        <v>2317</v>
      </c>
      <c r="F575" s="21"/>
    </row>
    <row r="576" spans="1:6" x14ac:dyDescent="0.2">
      <c r="A576" s="22"/>
      <c r="C576" s="4" t="s">
        <v>410</v>
      </c>
      <c r="F576" s="21"/>
    </row>
    <row r="577" spans="1:6" x14ac:dyDescent="0.2">
      <c r="A577" s="22"/>
      <c r="C577" s="4" t="s">
        <v>2103</v>
      </c>
      <c r="F577" s="21"/>
    </row>
    <row r="578" spans="1:6" x14ac:dyDescent="0.2">
      <c r="A578" s="28"/>
      <c r="C578" s="4" t="s">
        <v>2104</v>
      </c>
      <c r="F578" s="21"/>
    </row>
    <row r="579" spans="1:6" x14ac:dyDescent="0.2">
      <c r="A579" s="28"/>
      <c r="C579" s="4" t="s">
        <v>2318</v>
      </c>
      <c r="F579" s="21"/>
    </row>
    <row r="580" spans="1:6" x14ac:dyDescent="0.2">
      <c r="A580" s="22"/>
      <c r="C580" s="4" t="s">
        <v>2319</v>
      </c>
      <c r="F580" s="21"/>
    </row>
    <row r="581" spans="1:6" x14ac:dyDescent="0.2">
      <c r="A581" s="22"/>
      <c r="C581" s="4" t="s">
        <v>414</v>
      </c>
      <c r="F581" s="21"/>
    </row>
    <row r="582" spans="1:6" x14ac:dyDescent="0.2">
      <c r="A582" s="22"/>
      <c r="C582" s="4" t="s">
        <v>416</v>
      </c>
      <c r="F582" s="21"/>
    </row>
    <row r="583" spans="1:6" x14ac:dyDescent="0.2">
      <c r="A583" s="22"/>
      <c r="C583" s="4" t="s">
        <v>1127</v>
      </c>
      <c r="F583" s="21"/>
    </row>
    <row r="584" spans="1:6" x14ac:dyDescent="0.2">
      <c r="A584" s="22"/>
      <c r="C584" s="4" t="s">
        <v>1129</v>
      </c>
      <c r="F584" s="21"/>
    </row>
    <row r="585" spans="1:6" x14ac:dyDescent="0.2">
      <c r="A585" s="22"/>
      <c r="C585" s="4" t="s">
        <v>423</v>
      </c>
      <c r="F585" s="21"/>
    </row>
    <row r="586" spans="1:6" x14ac:dyDescent="0.2">
      <c r="A586" s="22"/>
      <c r="C586" s="4" t="s">
        <v>1175</v>
      </c>
      <c r="F586" s="21"/>
    </row>
    <row r="587" spans="1:6" x14ac:dyDescent="0.2">
      <c r="A587" s="22"/>
      <c r="C587" s="4" t="s">
        <v>430</v>
      </c>
      <c r="F587" s="21"/>
    </row>
    <row r="588" spans="1:6" x14ac:dyDescent="0.2">
      <c r="A588" s="28"/>
      <c r="C588" s="4" t="s">
        <v>2320</v>
      </c>
      <c r="F588" s="21"/>
    </row>
    <row r="589" spans="1:6" x14ac:dyDescent="0.2">
      <c r="A589" s="22"/>
      <c r="C589" s="4" t="s">
        <v>2321</v>
      </c>
      <c r="F589" s="21"/>
    </row>
    <row r="590" spans="1:6" x14ac:dyDescent="0.2">
      <c r="A590" s="22"/>
      <c r="C590" s="4" t="s">
        <v>2322</v>
      </c>
      <c r="F590" s="21"/>
    </row>
    <row r="591" spans="1:6" x14ac:dyDescent="0.2">
      <c r="A591" s="22"/>
      <c r="C591" s="4" t="s">
        <v>2323</v>
      </c>
      <c r="F591" s="21"/>
    </row>
    <row r="592" spans="1:6" x14ac:dyDescent="0.2">
      <c r="A592" s="22"/>
      <c r="C592" s="4" t="s">
        <v>2324</v>
      </c>
      <c r="F592" s="21"/>
    </row>
    <row r="593" spans="1:6" x14ac:dyDescent="0.2">
      <c r="A593" s="22"/>
      <c r="C593" s="4" t="s">
        <v>2325</v>
      </c>
      <c r="F593" s="21"/>
    </row>
    <row r="594" spans="1:6" x14ac:dyDescent="0.2">
      <c r="A594" s="22"/>
      <c r="C594" s="4" t="s">
        <v>830</v>
      </c>
      <c r="F594" s="21"/>
    </row>
    <row r="595" spans="1:6" x14ac:dyDescent="0.2">
      <c r="A595" s="22"/>
      <c r="C595" s="4" t="s">
        <v>444</v>
      </c>
      <c r="F595" s="21"/>
    </row>
    <row r="596" spans="1:6" x14ac:dyDescent="0.2">
      <c r="A596" s="22"/>
      <c r="C596" s="4" t="s">
        <v>2326</v>
      </c>
      <c r="F596" s="21"/>
    </row>
    <row r="597" spans="1:6" x14ac:dyDescent="0.2">
      <c r="A597" s="22"/>
      <c r="C597" s="4" t="s">
        <v>2327</v>
      </c>
      <c r="F597" s="21"/>
    </row>
    <row r="598" spans="1:6" x14ac:dyDescent="0.2">
      <c r="A598" s="22"/>
      <c r="C598" s="4" t="s">
        <v>2328</v>
      </c>
      <c r="F598" s="21"/>
    </row>
    <row r="599" spans="1:6" x14ac:dyDescent="0.2">
      <c r="A599" s="28"/>
      <c r="C599" s="4" t="s">
        <v>2329</v>
      </c>
      <c r="F599" s="21"/>
    </row>
    <row r="600" spans="1:6" x14ac:dyDescent="0.2">
      <c r="A600" s="28"/>
      <c r="C600" s="4" t="s">
        <v>2330</v>
      </c>
      <c r="F600" s="21"/>
    </row>
    <row r="601" spans="1:6" x14ac:dyDescent="0.2">
      <c r="A601" s="24"/>
      <c r="C601" s="4" t="s">
        <v>2331</v>
      </c>
      <c r="F601" s="21"/>
    </row>
    <row r="602" spans="1:6" x14ac:dyDescent="0.2">
      <c r="A602" s="22"/>
      <c r="C602" s="4" t="s">
        <v>2332</v>
      </c>
      <c r="F602" s="21"/>
    </row>
    <row r="603" spans="1:6" x14ac:dyDescent="0.2">
      <c r="A603" s="22"/>
      <c r="C603" s="4" t="s">
        <v>2333</v>
      </c>
      <c r="F603" s="21"/>
    </row>
    <row r="604" spans="1:6" x14ac:dyDescent="0.2">
      <c r="A604" s="22"/>
      <c r="C604" s="4" t="s">
        <v>2334</v>
      </c>
      <c r="F604" s="21"/>
    </row>
    <row r="605" spans="1:6" x14ac:dyDescent="0.2">
      <c r="A605" s="22"/>
      <c r="C605" s="4" t="s">
        <v>2335</v>
      </c>
      <c r="F605" s="21"/>
    </row>
    <row r="606" spans="1:6" x14ac:dyDescent="0.2">
      <c r="A606" s="22"/>
      <c r="C606" s="4" t="s">
        <v>2336</v>
      </c>
      <c r="F606" s="21"/>
    </row>
    <row r="607" spans="1:6" x14ac:dyDescent="0.2">
      <c r="A607" s="22"/>
      <c r="C607" s="4" t="s">
        <v>2337</v>
      </c>
      <c r="F607" s="21"/>
    </row>
    <row r="608" spans="1:6" x14ac:dyDescent="0.2">
      <c r="A608" s="22"/>
      <c r="C608" s="4" t="s">
        <v>2338</v>
      </c>
      <c r="F608" s="21"/>
    </row>
    <row r="609" spans="1:6" x14ac:dyDescent="0.2">
      <c r="A609" s="22"/>
      <c r="C609" s="4" t="s">
        <v>460</v>
      </c>
      <c r="F609" s="21"/>
    </row>
    <row r="610" spans="1:6" x14ac:dyDescent="0.2">
      <c r="A610" s="22"/>
      <c r="C610" s="4" t="s">
        <v>466</v>
      </c>
      <c r="F610" s="21"/>
    </row>
    <row r="611" spans="1:6" x14ac:dyDescent="0.2">
      <c r="A611" s="22"/>
      <c r="C611" s="4" t="s">
        <v>472</v>
      </c>
      <c r="F611" s="21"/>
    </row>
    <row r="612" spans="1:6" x14ac:dyDescent="0.2">
      <c r="A612" s="28"/>
      <c r="C612" s="4" t="s">
        <v>470</v>
      </c>
      <c r="F612" s="21"/>
    </row>
    <row r="613" spans="1:6" x14ac:dyDescent="0.2">
      <c r="A613" s="28"/>
      <c r="C613" s="4" t="s">
        <v>2339</v>
      </c>
      <c r="F613" s="21"/>
    </row>
    <row r="614" spans="1:6" x14ac:dyDescent="0.2">
      <c r="A614" s="28"/>
      <c r="C614" s="4" t="s">
        <v>2340</v>
      </c>
      <c r="F614" s="21"/>
    </row>
    <row r="615" spans="1:6" x14ac:dyDescent="0.2">
      <c r="A615" s="32"/>
      <c r="C615" s="4" t="s">
        <v>2341</v>
      </c>
      <c r="F615" s="21"/>
    </row>
    <row r="616" spans="1:6" ht="15" thickBot="1" x14ac:dyDescent="0.25">
      <c r="A616" s="32"/>
      <c r="C616" s="4" t="s">
        <v>480</v>
      </c>
      <c r="F616" s="27"/>
    </row>
    <row r="617" spans="1:6" x14ac:dyDescent="0.2">
      <c r="A617" s="32"/>
      <c r="C617" s="4" t="s">
        <v>2342</v>
      </c>
    </row>
    <row r="618" spans="1:6" x14ac:dyDescent="0.2">
      <c r="A618" s="32"/>
      <c r="C618" s="4" t="s">
        <v>2343</v>
      </c>
      <c r="F618"/>
    </row>
    <row r="619" spans="1:6" x14ac:dyDescent="0.2">
      <c r="A619" s="32"/>
      <c r="C619" s="4" t="s">
        <v>2344</v>
      </c>
      <c r="F619"/>
    </row>
    <row r="620" spans="1:6" x14ac:dyDescent="0.2">
      <c r="A620" s="32"/>
      <c r="C620" s="4" t="s">
        <v>2345</v>
      </c>
      <c r="F620"/>
    </row>
    <row r="621" spans="1:6" x14ac:dyDescent="0.2">
      <c r="A621" s="32"/>
      <c r="C621" s="4" t="s">
        <v>2346</v>
      </c>
    </row>
    <row r="622" spans="1:6" x14ac:dyDescent="0.2">
      <c r="A622" s="32"/>
      <c r="C622" s="4" t="s">
        <v>486</v>
      </c>
    </row>
    <row r="623" spans="1:6" x14ac:dyDescent="0.2">
      <c r="A623" s="32"/>
      <c r="C623" s="4" t="s">
        <v>490</v>
      </c>
    </row>
    <row r="624" spans="1:6" x14ac:dyDescent="0.2">
      <c r="A624" s="32"/>
      <c r="C624" s="4" t="s">
        <v>1135</v>
      </c>
    </row>
    <row r="625" spans="1:3" x14ac:dyDescent="0.2">
      <c r="A625" s="32"/>
      <c r="C625" s="4" t="s">
        <v>2347</v>
      </c>
    </row>
    <row r="626" spans="1:3" x14ac:dyDescent="0.2">
      <c r="A626" s="32"/>
      <c r="C626" s="4" t="s">
        <v>2105</v>
      </c>
    </row>
    <row r="627" spans="1:3" x14ac:dyDescent="0.2">
      <c r="A627" s="32"/>
      <c r="C627" s="4" t="s">
        <v>2106</v>
      </c>
    </row>
    <row r="628" spans="1:3" x14ac:dyDescent="0.2">
      <c r="A628" s="32"/>
      <c r="C628" s="4" t="s">
        <v>503</v>
      </c>
    </row>
    <row r="629" spans="1:3" x14ac:dyDescent="0.2">
      <c r="A629" s="32"/>
      <c r="C629" s="4" t="s">
        <v>506</v>
      </c>
    </row>
    <row r="630" spans="1:3" x14ac:dyDescent="0.2">
      <c r="A630" s="32"/>
      <c r="C630" s="4" t="s">
        <v>2107</v>
      </c>
    </row>
    <row r="631" spans="1:3" x14ac:dyDescent="0.2">
      <c r="A631" s="32"/>
      <c r="C631" s="4" t="s">
        <v>508</v>
      </c>
    </row>
    <row r="632" spans="1:3" x14ac:dyDescent="0.2">
      <c r="A632" s="32"/>
      <c r="C632" s="4" t="s">
        <v>2108</v>
      </c>
    </row>
    <row r="633" spans="1:3" x14ac:dyDescent="0.2">
      <c r="A633" s="32"/>
      <c r="C633" s="4" t="s">
        <v>2109</v>
      </c>
    </row>
    <row r="634" spans="1:3" x14ac:dyDescent="0.2">
      <c r="A634" s="32"/>
      <c r="C634" s="4" t="s">
        <v>516</v>
      </c>
    </row>
    <row r="635" spans="1:3" x14ac:dyDescent="0.2">
      <c r="A635" s="32"/>
      <c r="C635" s="4" t="s">
        <v>514</v>
      </c>
    </row>
    <row r="636" spans="1:3" x14ac:dyDescent="0.2">
      <c r="A636" s="32"/>
      <c r="C636" s="4" t="s">
        <v>2110</v>
      </c>
    </row>
    <row r="637" spans="1:3" x14ac:dyDescent="0.2">
      <c r="A637" s="32"/>
      <c r="C637" s="4" t="s">
        <v>2111</v>
      </c>
    </row>
    <row r="638" spans="1:3" x14ac:dyDescent="0.2">
      <c r="A638" s="32"/>
      <c r="C638" s="4" t="s">
        <v>518</v>
      </c>
    </row>
    <row r="639" spans="1:3" x14ac:dyDescent="0.2">
      <c r="A639" s="32"/>
      <c r="C639" s="4" t="s">
        <v>2112</v>
      </c>
    </row>
    <row r="640" spans="1:3" x14ac:dyDescent="0.2">
      <c r="A640" s="32"/>
      <c r="C640" s="4" t="s">
        <v>2113</v>
      </c>
    </row>
    <row r="641" spans="1:3" x14ac:dyDescent="0.2">
      <c r="A641" s="32"/>
      <c r="C641" s="4" t="s">
        <v>524</v>
      </c>
    </row>
    <row r="642" spans="1:3" ht="15" thickBot="1" x14ac:dyDescent="0.25">
      <c r="A642" s="127"/>
      <c r="C642" s="4" t="s">
        <v>528</v>
      </c>
    </row>
    <row r="643" spans="1:3" x14ac:dyDescent="0.2">
      <c r="A643" s="123"/>
      <c r="C643" s="4" t="s">
        <v>2115</v>
      </c>
    </row>
    <row r="644" spans="1:3" x14ac:dyDescent="0.2">
      <c r="A644" s="123"/>
      <c r="C644" s="4" t="s">
        <v>2116</v>
      </c>
    </row>
    <row r="645" spans="1:3" x14ac:dyDescent="0.2">
      <c r="C645" s="4" t="s">
        <v>2117</v>
      </c>
    </row>
    <row r="646" spans="1:3" x14ac:dyDescent="0.2">
      <c r="A646"/>
      <c r="C646" s="4" t="s">
        <v>2118</v>
      </c>
    </row>
    <row r="647" spans="1:3" x14ac:dyDescent="0.2">
      <c r="A647"/>
      <c r="C647" s="4" t="s">
        <v>2119</v>
      </c>
    </row>
    <row r="648" spans="1:3" x14ac:dyDescent="0.2">
      <c r="A648"/>
      <c r="C648" s="4" t="s">
        <v>540</v>
      </c>
    </row>
    <row r="649" spans="1:3" x14ac:dyDescent="0.2">
      <c r="C649" s="4" t="s">
        <v>544</v>
      </c>
    </row>
    <row r="650" spans="1:3" x14ac:dyDescent="0.2">
      <c r="C650" s="4" t="s">
        <v>542</v>
      </c>
    </row>
    <row r="651" spans="1:3" x14ac:dyDescent="0.2">
      <c r="C651" s="4" t="s">
        <v>538</v>
      </c>
    </row>
    <row r="652" spans="1:3" x14ac:dyDescent="0.2">
      <c r="C652" s="4" t="s">
        <v>548</v>
      </c>
    </row>
    <row r="653" spans="1:3" x14ac:dyDescent="0.2">
      <c r="C653" s="4" t="s">
        <v>546</v>
      </c>
    </row>
    <row r="654" spans="1:3" x14ac:dyDescent="0.2">
      <c r="C654" s="4" t="s">
        <v>2122</v>
      </c>
    </row>
    <row r="655" spans="1:3" x14ac:dyDescent="0.2">
      <c r="C655" s="4" t="s">
        <v>556</v>
      </c>
    </row>
    <row r="656" spans="1:3" x14ac:dyDescent="0.2">
      <c r="C656" s="4" t="s">
        <v>2348</v>
      </c>
    </row>
    <row r="657" spans="3:7" customFormat="1" x14ac:dyDescent="0.2">
      <c r="C657" s="4" t="s">
        <v>2123</v>
      </c>
      <c r="F657" s="46"/>
      <c r="G657" s="164"/>
    </row>
    <row r="658" spans="3:7" customFormat="1" x14ac:dyDescent="0.2">
      <c r="C658" s="4" t="s">
        <v>2125</v>
      </c>
      <c r="F658" s="46"/>
      <c r="G658" s="164"/>
    </row>
    <row r="659" spans="3:7" customFormat="1" x14ac:dyDescent="0.2">
      <c r="C659" s="4" t="s">
        <v>2126</v>
      </c>
      <c r="F659" s="46"/>
      <c r="G659" s="164"/>
    </row>
    <row r="660" spans="3:7" customFormat="1" x14ac:dyDescent="0.2">
      <c r="C660" s="4" t="s">
        <v>2127</v>
      </c>
      <c r="F660" s="46"/>
      <c r="G660" s="164"/>
    </row>
    <row r="661" spans="3:7" customFormat="1" x14ac:dyDescent="0.2">
      <c r="C661" s="4" t="s">
        <v>2128</v>
      </c>
      <c r="F661" s="46"/>
      <c r="G661" s="164"/>
    </row>
    <row r="662" spans="3:7" customFormat="1" x14ac:dyDescent="0.2">
      <c r="C662" s="4" t="s">
        <v>2129</v>
      </c>
      <c r="F662" s="46"/>
      <c r="G662" s="164"/>
    </row>
    <row r="663" spans="3:7" customFormat="1" x14ac:dyDescent="0.2">
      <c r="C663" s="4" t="s">
        <v>2130</v>
      </c>
      <c r="F663" s="46"/>
      <c r="G663" s="164"/>
    </row>
    <row r="664" spans="3:7" customFormat="1" x14ac:dyDescent="0.2">
      <c r="C664" s="4" t="s">
        <v>745</v>
      </c>
      <c r="F664" s="46"/>
      <c r="G664" s="164"/>
    </row>
    <row r="665" spans="3:7" customFormat="1" x14ac:dyDescent="0.2">
      <c r="C665" s="4" t="s">
        <v>2131</v>
      </c>
      <c r="F665" s="46"/>
      <c r="G665" s="164"/>
    </row>
    <row r="666" spans="3:7" customFormat="1" x14ac:dyDescent="0.2">
      <c r="C666" s="4" t="s">
        <v>2132</v>
      </c>
      <c r="F666" s="46"/>
      <c r="G666" s="164"/>
    </row>
    <row r="667" spans="3:7" customFormat="1" x14ac:dyDescent="0.2">
      <c r="C667" s="4" t="s">
        <v>2133</v>
      </c>
      <c r="F667" s="46"/>
      <c r="G667" s="164"/>
    </row>
    <row r="668" spans="3:7" customFormat="1" x14ac:dyDescent="0.2">
      <c r="C668" s="4" t="s">
        <v>2134</v>
      </c>
      <c r="F668" s="46"/>
      <c r="G668" s="164"/>
    </row>
    <row r="669" spans="3:7" customFormat="1" x14ac:dyDescent="0.2">
      <c r="C669" s="4" t="s">
        <v>2135</v>
      </c>
      <c r="F669" s="46"/>
      <c r="G669" s="164"/>
    </row>
    <row r="670" spans="3:7" customFormat="1" x14ac:dyDescent="0.2">
      <c r="C670" s="4" t="s">
        <v>570</v>
      </c>
      <c r="F670" s="46"/>
      <c r="G670" s="164"/>
    </row>
    <row r="671" spans="3:7" customFormat="1" x14ac:dyDescent="0.2">
      <c r="C671" s="4" t="s">
        <v>615</v>
      </c>
      <c r="F671" s="46"/>
      <c r="G671" s="164"/>
    </row>
    <row r="672" spans="3:7" customFormat="1" x14ac:dyDescent="0.2">
      <c r="C672" s="4" t="s">
        <v>621</v>
      </c>
      <c r="F672" s="46"/>
      <c r="G672" s="164"/>
    </row>
    <row r="673" spans="3:7" customFormat="1" x14ac:dyDescent="0.2">
      <c r="C673" s="4" t="s">
        <v>623</v>
      </c>
      <c r="F673" s="46"/>
      <c r="G673" s="164"/>
    </row>
    <row r="674" spans="3:7" customFormat="1" x14ac:dyDescent="0.2">
      <c r="C674" s="4" t="s">
        <v>2136</v>
      </c>
      <c r="F674" s="46"/>
      <c r="G674" s="164"/>
    </row>
    <row r="675" spans="3:7" customFormat="1" x14ac:dyDescent="0.2">
      <c r="C675" s="4" t="s">
        <v>2137</v>
      </c>
      <c r="F675" s="46"/>
      <c r="G675" s="164"/>
    </row>
    <row r="676" spans="3:7" customFormat="1" x14ac:dyDescent="0.2">
      <c r="C676" s="4" t="s">
        <v>462</v>
      </c>
      <c r="F676" s="46"/>
      <c r="G676" s="164"/>
    </row>
    <row r="677" spans="3:7" customFormat="1" x14ac:dyDescent="0.2">
      <c r="C677" s="4" t="s">
        <v>464</v>
      </c>
      <c r="F677" s="46"/>
      <c r="G677" s="164"/>
    </row>
    <row r="678" spans="3:7" customFormat="1" x14ac:dyDescent="0.2">
      <c r="C678" s="4" t="s">
        <v>2138</v>
      </c>
      <c r="F678" s="46"/>
      <c r="G678" s="164"/>
    </row>
    <row r="679" spans="3:7" customFormat="1" x14ac:dyDescent="0.2">
      <c r="C679" s="4" t="s">
        <v>659</v>
      </c>
      <c r="F679" s="46"/>
      <c r="G679" s="164"/>
    </row>
    <row r="680" spans="3:7" customFormat="1" x14ac:dyDescent="0.2">
      <c r="C680" s="4" t="s">
        <v>661</v>
      </c>
      <c r="F680" s="46"/>
      <c r="G680" s="164"/>
    </row>
    <row r="681" spans="3:7" customFormat="1" x14ac:dyDescent="0.2">
      <c r="C681" s="4" t="s">
        <v>880</v>
      </c>
      <c r="F681" s="46"/>
      <c r="G681" s="164"/>
    </row>
    <row r="682" spans="3:7" customFormat="1" x14ac:dyDescent="0.2">
      <c r="C682" s="4" t="s">
        <v>2139</v>
      </c>
      <c r="F682" s="46"/>
      <c r="G682" s="164"/>
    </row>
    <row r="683" spans="3:7" customFormat="1" x14ac:dyDescent="0.2">
      <c r="C683" s="4" t="s">
        <v>2140</v>
      </c>
      <c r="F683" s="46"/>
      <c r="G683" s="164"/>
    </row>
    <row r="684" spans="3:7" customFormat="1" x14ac:dyDescent="0.2">
      <c r="C684" s="4" t="s">
        <v>2349</v>
      </c>
      <c r="F684" s="46"/>
      <c r="G684" s="164"/>
    </row>
    <row r="685" spans="3:7" customFormat="1" x14ac:dyDescent="0.2">
      <c r="C685" s="4" t="s">
        <v>625</v>
      </c>
      <c r="F685" s="46"/>
      <c r="G685" s="164"/>
    </row>
    <row r="686" spans="3:7" customFormat="1" x14ac:dyDescent="0.2">
      <c r="C686" s="4" t="s">
        <v>2141</v>
      </c>
      <c r="F686" s="46"/>
      <c r="G686" s="164"/>
    </row>
    <row r="687" spans="3:7" customFormat="1" x14ac:dyDescent="0.2">
      <c r="C687" s="4" t="s">
        <v>568</v>
      </c>
      <c r="F687" s="46"/>
      <c r="G687" s="164"/>
    </row>
    <row r="688" spans="3:7" customFormat="1" x14ac:dyDescent="0.2">
      <c r="C688" s="4" t="s">
        <v>2142</v>
      </c>
      <c r="F688" s="46"/>
      <c r="G688" s="164"/>
    </row>
    <row r="689" spans="3:7" customFormat="1" x14ac:dyDescent="0.2">
      <c r="C689" s="4" t="s">
        <v>2143</v>
      </c>
      <c r="F689" s="46"/>
      <c r="G689" s="164"/>
    </row>
    <row r="690" spans="3:7" customFormat="1" x14ac:dyDescent="0.2">
      <c r="C690" s="4" t="s">
        <v>2144</v>
      </c>
      <c r="F690" s="46"/>
      <c r="G690" s="164"/>
    </row>
    <row r="691" spans="3:7" customFormat="1" x14ac:dyDescent="0.2">
      <c r="C691" s="4" t="s">
        <v>2145</v>
      </c>
      <c r="F691" s="46"/>
      <c r="G691" s="164"/>
    </row>
    <row r="692" spans="3:7" customFormat="1" x14ac:dyDescent="0.2">
      <c r="C692" s="4" t="s">
        <v>886</v>
      </c>
      <c r="F692" s="46"/>
      <c r="G692" s="164"/>
    </row>
    <row r="693" spans="3:7" customFormat="1" x14ac:dyDescent="0.2">
      <c r="C693" s="4" t="s">
        <v>2146</v>
      </c>
      <c r="F693" s="46"/>
      <c r="G693" s="164"/>
    </row>
    <row r="694" spans="3:7" customFormat="1" x14ac:dyDescent="0.2">
      <c r="C694" s="4" t="s">
        <v>2147</v>
      </c>
      <c r="F694" s="46"/>
      <c r="G694" s="164"/>
    </row>
    <row r="695" spans="3:7" customFormat="1" x14ac:dyDescent="0.2">
      <c r="C695" s="4" t="s">
        <v>776</v>
      </c>
      <c r="F695" s="46"/>
      <c r="G695" s="164"/>
    </row>
    <row r="696" spans="3:7" customFormat="1" x14ac:dyDescent="0.2">
      <c r="C696" s="4" t="s">
        <v>774</v>
      </c>
      <c r="F696" s="46"/>
      <c r="G696" s="164"/>
    </row>
    <row r="697" spans="3:7" customFormat="1" x14ac:dyDescent="0.2">
      <c r="C697" s="4" t="s">
        <v>2150</v>
      </c>
      <c r="F697" s="46"/>
      <c r="G697" s="164"/>
    </row>
    <row r="698" spans="3:7" customFormat="1" x14ac:dyDescent="0.2">
      <c r="C698" s="4" t="s">
        <v>2152</v>
      </c>
      <c r="F698" s="46"/>
      <c r="G698" s="164"/>
    </row>
    <row r="699" spans="3:7" customFormat="1" x14ac:dyDescent="0.2">
      <c r="C699" s="4" t="s">
        <v>2154</v>
      </c>
      <c r="F699" s="46"/>
      <c r="G699" s="164"/>
    </row>
    <row r="700" spans="3:7" customFormat="1" x14ac:dyDescent="0.2">
      <c r="C700" s="4" t="s">
        <v>2155</v>
      </c>
      <c r="F700" s="46"/>
      <c r="G700" s="164"/>
    </row>
    <row r="701" spans="3:7" customFormat="1" x14ac:dyDescent="0.2">
      <c r="C701" s="4" t="s">
        <v>2157</v>
      </c>
      <c r="F701" s="46"/>
      <c r="G701" s="164"/>
    </row>
    <row r="702" spans="3:7" customFormat="1" x14ac:dyDescent="0.2">
      <c r="C702" s="4" t="s">
        <v>733</v>
      </c>
      <c r="F702" s="46"/>
      <c r="G702" s="164"/>
    </row>
    <row r="703" spans="3:7" customFormat="1" x14ac:dyDescent="0.2">
      <c r="C703" s="4" t="s">
        <v>704</v>
      </c>
      <c r="F703" s="46"/>
      <c r="G703" s="164"/>
    </row>
    <row r="704" spans="3:7" customFormat="1" x14ac:dyDescent="0.2">
      <c r="C704" s="4" t="s">
        <v>2161</v>
      </c>
      <c r="F704" s="46"/>
      <c r="G704" s="164"/>
    </row>
    <row r="705" spans="3:7" customFormat="1" x14ac:dyDescent="0.2">
      <c r="C705" s="4" t="s">
        <v>2163</v>
      </c>
      <c r="F705" s="46"/>
      <c r="G705" s="164"/>
    </row>
    <row r="706" spans="3:7" customFormat="1" x14ac:dyDescent="0.2">
      <c r="C706" s="4" t="s">
        <v>888</v>
      </c>
      <c r="F706" s="46"/>
      <c r="G706" s="164"/>
    </row>
    <row r="707" spans="3:7" customFormat="1" x14ac:dyDescent="0.2">
      <c r="C707" s="4" t="s">
        <v>2350</v>
      </c>
      <c r="F707" s="46"/>
      <c r="G707" s="164"/>
    </row>
    <row r="708" spans="3:7" customFormat="1" x14ac:dyDescent="0.2">
      <c r="C708" s="4" t="s">
        <v>599</v>
      </c>
      <c r="F708" s="46"/>
      <c r="G708" s="164"/>
    </row>
    <row r="709" spans="3:7" customFormat="1" x14ac:dyDescent="0.2">
      <c r="C709" s="4" t="s">
        <v>605</v>
      </c>
      <c r="F709" s="46"/>
      <c r="G709" s="164"/>
    </row>
    <row r="710" spans="3:7" customFormat="1" x14ac:dyDescent="0.2">
      <c r="C710" s="4" t="s">
        <v>601</v>
      </c>
      <c r="F710" s="46"/>
      <c r="G710" s="164"/>
    </row>
    <row r="711" spans="3:7" customFormat="1" x14ac:dyDescent="0.2">
      <c r="C711" s="4" t="s">
        <v>603</v>
      </c>
      <c r="F711" s="46"/>
      <c r="G711" s="164"/>
    </row>
    <row r="712" spans="3:7" customFormat="1" x14ac:dyDescent="0.2">
      <c r="C712" s="5" t="s">
        <v>2172</v>
      </c>
      <c r="F712" s="46"/>
      <c r="G712" s="164"/>
    </row>
    <row r="713" spans="3:7" customFormat="1" x14ac:dyDescent="0.2">
      <c r="C713" s="4" t="s">
        <v>2174</v>
      </c>
      <c r="F713" s="46"/>
      <c r="G713" s="164"/>
    </row>
    <row r="714" spans="3:7" customFormat="1" x14ac:dyDescent="0.2">
      <c r="C714" s="4" t="s">
        <v>2176</v>
      </c>
      <c r="F714" s="46"/>
      <c r="G714" s="164"/>
    </row>
    <row r="715" spans="3:7" customFormat="1" x14ac:dyDescent="0.2">
      <c r="C715" s="4" t="s">
        <v>2178</v>
      </c>
      <c r="F715" s="46"/>
      <c r="G715" s="164"/>
    </row>
    <row r="716" spans="3:7" customFormat="1" x14ac:dyDescent="0.2">
      <c r="C716" s="4" t="s">
        <v>607</v>
      </c>
      <c r="F716" s="46"/>
      <c r="G716" s="164"/>
    </row>
    <row r="717" spans="3:7" customFormat="1" x14ac:dyDescent="0.2">
      <c r="C717" s="4" t="s">
        <v>2180</v>
      </c>
      <c r="F717" s="46"/>
      <c r="G717" s="164"/>
    </row>
    <row r="718" spans="3:7" customFormat="1" x14ac:dyDescent="0.2">
      <c r="C718" s="4" t="s">
        <v>613</v>
      </c>
      <c r="F718" s="46"/>
      <c r="G718" s="164"/>
    </row>
    <row r="719" spans="3:7" customFormat="1" x14ac:dyDescent="0.2">
      <c r="C719" s="4" t="s">
        <v>2181</v>
      </c>
      <c r="F719" s="46"/>
      <c r="G719" s="164"/>
    </row>
    <row r="720" spans="3:7" customFormat="1" x14ac:dyDescent="0.2">
      <c r="C720" s="4" t="s">
        <v>2183</v>
      </c>
      <c r="F720" s="46"/>
      <c r="G720" s="164"/>
    </row>
    <row r="721" spans="3:7" customFormat="1" x14ac:dyDescent="0.2">
      <c r="C721" s="4" t="s">
        <v>2184</v>
      </c>
      <c r="F721" s="46"/>
      <c r="G721" s="164"/>
    </row>
    <row r="722" spans="3:7" customFormat="1" x14ac:dyDescent="0.2">
      <c r="C722" s="4" t="s">
        <v>2186</v>
      </c>
      <c r="F722" s="46"/>
      <c r="G722" s="164"/>
    </row>
    <row r="723" spans="3:7" customFormat="1" x14ac:dyDescent="0.2">
      <c r="C723" s="4" t="s">
        <v>2188</v>
      </c>
      <c r="F723" s="46"/>
      <c r="G723" s="164"/>
    </row>
    <row r="724" spans="3:7" customFormat="1" x14ac:dyDescent="0.2">
      <c r="C724" s="4" t="s">
        <v>617</v>
      </c>
      <c r="F724" s="46"/>
      <c r="G724" s="164"/>
    </row>
    <row r="725" spans="3:7" customFormat="1" x14ac:dyDescent="0.2">
      <c r="C725" s="4" t="s">
        <v>619</v>
      </c>
      <c r="F725" s="46"/>
      <c r="G725" s="164"/>
    </row>
    <row r="726" spans="3:7" customFormat="1" x14ac:dyDescent="0.2">
      <c r="C726" s="4" t="s">
        <v>374</v>
      </c>
      <c r="F726" s="46"/>
      <c r="G726" s="164"/>
    </row>
    <row r="727" spans="3:7" customFormat="1" x14ac:dyDescent="0.2">
      <c r="C727" s="4" t="s">
        <v>629</v>
      </c>
      <c r="F727" s="46"/>
      <c r="G727" s="164"/>
    </row>
    <row r="728" spans="3:7" customFormat="1" x14ac:dyDescent="0.2">
      <c r="C728" s="4" t="s">
        <v>627</v>
      </c>
      <c r="F728" s="46"/>
      <c r="G728" s="164"/>
    </row>
    <row r="729" spans="3:7" customFormat="1" x14ac:dyDescent="0.2">
      <c r="C729" s="4" t="s">
        <v>2194</v>
      </c>
      <c r="F729" s="46"/>
      <c r="G729" s="164"/>
    </row>
    <row r="730" spans="3:7" customFormat="1" x14ac:dyDescent="0.2">
      <c r="C730" s="4" t="s">
        <v>804</v>
      </c>
      <c r="F730" s="46"/>
      <c r="G730" s="164"/>
    </row>
    <row r="731" spans="3:7" customFormat="1" x14ac:dyDescent="0.2">
      <c r="C731" s="4" t="s">
        <v>2195</v>
      </c>
      <c r="F731" s="46"/>
      <c r="G731" s="164"/>
    </row>
    <row r="732" spans="3:7" customFormat="1" x14ac:dyDescent="0.2">
      <c r="C732" s="4" t="s">
        <v>631</v>
      </c>
      <c r="F732" s="46"/>
      <c r="G732" s="164"/>
    </row>
    <row r="733" spans="3:7" customFormat="1" x14ac:dyDescent="0.2">
      <c r="C733" s="4" t="s">
        <v>2196</v>
      </c>
      <c r="F733" s="46"/>
      <c r="G733" s="164"/>
    </row>
    <row r="734" spans="3:7" customFormat="1" x14ac:dyDescent="0.2">
      <c r="C734" s="4" t="s">
        <v>2197</v>
      </c>
      <c r="F734" s="46"/>
      <c r="G734" s="164"/>
    </row>
    <row r="735" spans="3:7" customFormat="1" x14ac:dyDescent="0.2">
      <c r="C735" s="4" t="s">
        <v>2198</v>
      </c>
      <c r="F735" s="46"/>
      <c r="G735" s="164"/>
    </row>
    <row r="736" spans="3:7" customFormat="1" x14ac:dyDescent="0.2">
      <c r="C736" s="4" t="s">
        <v>638</v>
      </c>
      <c r="F736" s="46"/>
      <c r="G736" s="164"/>
    </row>
    <row r="737" spans="3:7" customFormat="1" x14ac:dyDescent="0.2">
      <c r="C737" s="4" t="s">
        <v>2201</v>
      </c>
      <c r="F737" s="46"/>
      <c r="G737" s="164"/>
    </row>
    <row r="738" spans="3:7" customFormat="1" x14ac:dyDescent="0.2">
      <c r="C738" s="4" t="s">
        <v>2203</v>
      </c>
      <c r="F738" s="46"/>
      <c r="G738" s="164"/>
    </row>
    <row r="739" spans="3:7" customFormat="1" x14ac:dyDescent="0.2">
      <c r="C739" s="4" t="s">
        <v>2205</v>
      </c>
      <c r="F739" s="46"/>
      <c r="G739" s="164"/>
    </row>
    <row r="740" spans="3:7" customFormat="1" x14ac:dyDescent="0.2">
      <c r="C740" s="4" t="s">
        <v>2207</v>
      </c>
      <c r="F740" s="46"/>
      <c r="G740" s="164"/>
    </row>
    <row r="741" spans="3:7" customFormat="1" x14ac:dyDescent="0.2">
      <c r="C741" s="4" t="s">
        <v>2208</v>
      </c>
      <c r="F741" s="46"/>
      <c r="G741" s="164"/>
    </row>
    <row r="742" spans="3:7" customFormat="1" x14ac:dyDescent="0.2">
      <c r="C742" s="4" t="s">
        <v>2210</v>
      </c>
      <c r="F742" s="46"/>
      <c r="G742" s="164"/>
    </row>
    <row r="743" spans="3:7" customFormat="1" x14ac:dyDescent="0.2">
      <c r="C743" s="4" t="s">
        <v>2212</v>
      </c>
      <c r="F743" s="46"/>
      <c r="G743" s="164"/>
    </row>
    <row r="744" spans="3:7" customFormat="1" x14ac:dyDescent="0.2">
      <c r="C744" s="4" t="s">
        <v>643</v>
      </c>
      <c r="F744" s="46"/>
      <c r="G744" s="164"/>
    </row>
    <row r="745" spans="3:7" customFormat="1" x14ac:dyDescent="0.2">
      <c r="C745" s="4" t="s">
        <v>2213</v>
      </c>
      <c r="F745" s="46"/>
      <c r="G745" s="164"/>
    </row>
    <row r="746" spans="3:7" customFormat="1" x14ac:dyDescent="0.2">
      <c r="C746" s="4" t="s">
        <v>2214</v>
      </c>
      <c r="F746" s="46"/>
      <c r="G746" s="164"/>
    </row>
    <row r="747" spans="3:7" customFormat="1" x14ac:dyDescent="0.2">
      <c r="C747" s="4" t="s">
        <v>706</v>
      </c>
      <c r="F747" s="46"/>
      <c r="G747" s="164"/>
    </row>
    <row r="748" spans="3:7" customFormat="1" x14ac:dyDescent="0.2">
      <c r="C748" s="4" t="s">
        <v>442</v>
      </c>
      <c r="F748" s="46"/>
      <c r="G748" s="164"/>
    </row>
    <row r="749" spans="3:7" customFormat="1" x14ac:dyDescent="0.2">
      <c r="C749" s="4" t="s">
        <v>440</v>
      </c>
      <c r="F749" s="46"/>
      <c r="G749" s="164"/>
    </row>
    <row r="750" spans="3:7" customFormat="1" x14ac:dyDescent="0.2">
      <c r="C750" s="4" t="s">
        <v>652</v>
      </c>
      <c r="F750" s="46"/>
      <c r="G750" s="164"/>
    </row>
    <row r="751" spans="3:7" customFormat="1" x14ac:dyDescent="0.2">
      <c r="C751" s="4" t="s">
        <v>648</v>
      </c>
      <c r="F751" s="46"/>
      <c r="G751" s="164"/>
    </row>
    <row r="752" spans="3:7" customFormat="1" x14ac:dyDescent="0.2">
      <c r="C752" s="4" t="s">
        <v>945</v>
      </c>
      <c r="F752" s="46"/>
      <c r="G752" s="164"/>
    </row>
    <row r="753" spans="3:7" customFormat="1" x14ac:dyDescent="0.2">
      <c r="C753" s="4" t="s">
        <v>2216</v>
      </c>
      <c r="F753" s="46"/>
      <c r="G753" s="164"/>
    </row>
    <row r="754" spans="3:7" customFormat="1" x14ac:dyDescent="0.2">
      <c r="C754" s="4" t="s">
        <v>657</v>
      </c>
      <c r="F754" s="46"/>
      <c r="G754" s="164"/>
    </row>
    <row r="755" spans="3:7" customFormat="1" x14ac:dyDescent="0.2">
      <c r="C755" s="5" t="s">
        <v>2217</v>
      </c>
      <c r="F755" s="46"/>
      <c r="G755" s="164"/>
    </row>
    <row r="756" spans="3:7" customFormat="1" x14ac:dyDescent="0.2">
      <c r="C756" s="4" t="s">
        <v>655</v>
      </c>
      <c r="F756" s="46"/>
      <c r="G756" s="164"/>
    </row>
    <row r="757" spans="3:7" customFormat="1" x14ac:dyDescent="0.2">
      <c r="C757" s="4" t="s">
        <v>2218</v>
      </c>
      <c r="F757" s="46"/>
      <c r="G757" s="164"/>
    </row>
    <row r="758" spans="3:7" customFormat="1" x14ac:dyDescent="0.2">
      <c r="C758" s="4" t="s">
        <v>597</v>
      </c>
      <c r="F758" s="46"/>
      <c r="G758" s="164"/>
    </row>
    <row r="759" spans="3:7" customFormat="1" x14ac:dyDescent="0.2">
      <c r="C759" s="4" t="s">
        <v>667</v>
      </c>
      <c r="F759" s="46"/>
      <c r="G759" s="164"/>
    </row>
    <row r="760" spans="3:7" customFormat="1" x14ac:dyDescent="0.2">
      <c r="C760" s="4" t="s">
        <v>692</v>
      </c>
      <c r="F760" s="46"/>
      <c r="G760" s="164"/>
    </row>
    <row r="761" spans="3:7" customFormat="1" x14ac:dyDescent="0.2">
      <c r="C761" s="4" t="s">
        <v>432</v>
      </c>
      <c r="F761" s="46"/>
      <c r="G761" s="164"/>
    </row>
    <row r="762" spans="3:7" customFormat="1" x14ac:dyDescent="0.2">
      <c r="C762" s="4" t="s">
        <v>2219</v>
      </c>
      <c r="F762" s="46"/>
      <c r="G762" s="164"/>
    </row>
    <row r="763" spans="3:7" customFormat="1" x14ac:dyDescent="0.2">
      <c r="C763" s="4" t="s">
        <v>695</v>
      </c>
      <c r="F763" s="46"/>
      <c r="G763" s="164"/>
    </row>
    <row r="764" spans="3:7" customFormat="1" x14ac:dyDescent="0.2">
      <c r="C764" s="4" t="s">
        <v>697</v>
      </c>
      <c r="F764" s="46"/>
      <c r="G764" s="164"/>
    </row>
    <row r="765" spans="3:7" customFormat="1" x14ac:dyDescent="0.2">
      <c r="C765" s="4" t="s">
        <v>2230</v>
      </c>
      <c r="F765" s="46"/>
      <c r="G765" s="164"/>
    </row>
    <row r="766" spans="3:7" customFormat="1" x14ac:dyDescent="0.2">
      <c r="C766" s="4" t="s">
        <v>2233</v>
      </c>
      <c r="F766" s="46"/>
      <c r="G766" s="164"/>
    </row>
    <row r="767" spans="3:7" customFormat="1" x14ac:dyDescent="0.2">
      <c r="C767" s="4" t="s">
        <v>522</v>
      </c>
      <c r="F767" s="46"/>
      <c r="G767" s="164"/>
    </row>
    <row r="768" spans="3:7" customFormat="1" x14ac:dyDescent="0.2">
      <c r="C768" s="4" t="s">
        <v>2351</v>
      </c>
      <c r="F768" s="46"/>
      <c r="G768" s="164"/>
    </row>
    <row r="769" spans="3:7" customFormat="1" x14ac:dyDescent="0.2">
      <c r="C769" s="4" t="s">
        <v>2234</v>
      </c>
      <c r="F769" s="46"/>
      <c r="G769" s="164"/>
    </row>
    <row r="770" spans="3:7" customFormat="1" x14ac:dyDescent="0.2">
      <c r="C770" s="4" t="s">
        <v>2235</v>
      </c>
      <c r="F770" s="46"/>
      <c r="G770" s="164"/>
    </row>
    <row r="771" spans="3:7" customFormat="1" x14ac:dyDescent="0.2">
      <c r="C771" s="4" t="s">
        <v>700</v>
      </c>
      <c r="F771" s="46"/>
      <c r="G771" s="164"/>
    </row>
    <row r="772" spans="3:7" customFormat="1" x14ac:dyDescent="0.2">
      <c r="C772" s="4" t="s">
        <v>702</v>
      </c>
      <c r="F772" s="46"/>
      <c r="G772" s="164"/>
    </row>
    <row r="773" spans="3:7" customFormat="1" x14ac:dyDescent="0.2">
      <c r="C773" s="4" t="s">
        <v>2237</v>
      </c>
      <c r="F773" s="46"/>
      <c r="G773" s="164"/>
    </row>
    <row r="774" spans="3:7" customFormat="1" x14ac:dyDescent="0.2">
      <c r="C774" s="5" t="s">
        <v>2238</v>
      </c>
      <c r="F774" s="46"/>
      <c r="G774" s="164"/>
    </row>
    <row r="775" spans="3:7" customFormat="1" x14ac:dyDescent="0.2">
      <c r="C775" s="4" t="s">
        <v>2240</v>
      </c>
      <c r="F775" s="46"/>
      <c r="G775" s="164"/>
    </row>
    <row r="776" spans="3:7" customFormat="1" x14ac:dyDescent="0.2">
      <c r="C776" s="4" t="s">
        <v>712</v>
      </c>
      <c r="F776" s="46"/>
      <c r="G776" s="164"/>
    </row>
    <row r="777" spans="3:7" customFormat="1" x14ac:dyDescent="0.2">
      <c r="C777" s="4" t="s">
        <v>714</v>
      </c>
      <c r="F777" s="46"/>
      <c r="G777" s="164"/>
    </row>
    <row r="778" spans="3:7" customFormat="1" x14ac:dyDescent="0.2">
      <c r="C778" s="4" t="s">
        <v>2241</v>
      </c>
      <c r="F778" s="46"/>
      <c r="G778" s="164"/>
    </row>
    <row r="779" spans="3:7" customFormat="1" x14ac:dyDescent="0.2">
      <c r="C779" s="4" t="s">
        <v>2243</v>
      </c>
      <c r="F779" s="46"/>
      <c r="G779" s="164"/>
    </row>
    <row r="780" spans="3:7" customFormat="1" x14ac:dyDescent="0.2">
      <c r="C780" s="4" t="s">
        <v>2245</v>
      </c>
      <c r="F780" s="46"/>
      <c r="G780" s="164"/>
    </row>
    <row r="781" spans="3:7" customFormat="1" x14ac:dyDescent="0.2">
      <c r="C781" s="4" t="s">
        <v>716</v>
      </c>
      <c r="F781" s="46"/>
      <c r="G781" s="164"/>
    </row>
    <row r="782" spans="3:7" customFormat="1" x14ac:dyDescent="0.2">
      <c r="C782" s="4" t="s">
        <v>2246</v>
      </c>
      <c r="F782" s="46"/>
      <c r="G782" s="164"/>
    </row>
    <row r="783" spans="3:7" customFormat="1" x14ac:dyDescent="0.2">
      <c r="C783" s="4" t="s">
        <v>725</v>
      </c>
      <c r="F783" s="46"/>
      <c r="G783" s="164"/>
    </row>
    <row r="784" spans="3:7" customFormat="1" x14ac:dyDescent="0.2">
      <c r="C784" s="4" t="s">
        <v>727</v>
      </c>
      <c r="F784" s="46"/>
      <c r="G784" s="164"/>
    </row>
    <row r="785" spans="3:7" customFormat="1" x14ac:dyDescent="0.2">
      <c r="C785" s="5" t="s">
        <v>2248</v>
      </c>
      <c r="F785" s="46"/>
      <c r="G785" s="164"/>
    </row>
    <row r="786" spans="3:7" customFormat="1" x14ac:dyDescent="0.2">
      <c r="C786" s="4" t="s">
        <v>2250</v>
      </c>
      <c r="F786" s="46"/>
      <c r="G786" s="164"/>
    </row>
    <row r="787" spans="3:7" customFormat="1" x14ac:dyDescent="0.2">
      <c r="C787" s="4" t="s">
        <v>731</v>
      </c>
      <c r="F787" s="46"/>
      <c r="G787" s="164"/>
    </row>
    <row r="788" spans="3:7" customFormat="1" x14ac:dyDescent="0.2">
      <c r="C788" s="5" t="s">
        <v>2251</v>
      </c>
      <c r="F788" s="46"/>
      <c r="G788" s="164"/>
    </row>
    <row r="789" spans="3:7" customFormat="1" x14ac:dyDescent="0.2">
      <c r="C789" s="4" t="s">
        <v>2252</v>
      </c>
      <c r="F789" s="46"/>
      <c r="G789" s="164"/>
    </row>
    <row r="790" spans="3:7" customFormat="1" x14ac:dyDescent="0.2">
      <c r="C790" s="4" t="s">
        <v>2253</v>
      </c>
      <c r="F790" s="46"/>
      <c r="G790" s="164"/>
    </row>
    <row r="791" spans="3:7" customFormat="1" x14ac:dyDescent="0.2">
      <c r="C791" s="4" t="s">
        <v>2254</v>
      </c>
      <c r="F791" s="46"/>
      <c r="G791" s="164"/>
    </row>
    <row r="792" spans="3:7" customFormat="1" x14ac:dyDescent="0.2">
      <c r="C792" s="4" t="s">
        <v>2255</v>
      </c>
      <c r="F792" s="46"/>
      <c r="G792" s="164"/>
    </row>
    <row r="793" spans="3:7" customFormat="1" x14ac:dyDescent="0.2">
      <c r="C793" s="4" t="s">
        <v>735</v>
      </c>
      <c r="F793" s="46"/>
      <c r="G793" s="164"/>
    </row>
    <row r="794" spans="3:7" customFormat="1" x14ac:dyDescent="0.2">
      <c r="C794" s="4" t="s">
        <v>893</v>
      </c>
      <c r="F794" s="46"/>
      <c r="G794" s="164"/>
    </row>
    <row r="795" spans="3:7" customFormat="1" x14ac:dyDescent="0.2">
      <c r="C795" s="4" t="s">
        <v>488</v>
      </c>
      <c r="F795" s="46"/>
      <c r="G795" s="164"/>
    </row>
    <row r="796" spans="3:7" customFormat="1" x14ac:dyDescent="0.2">
      <c r="C796" s="4" t="s">
        <v>739</v>
      </c>
      <c r="F796" s="46"/>
      <c r="G796" s="164"/>
    </row>
    <row r="797" spans="3:7" customFormat="1" x14ac:dyDescent="0.2">
      <c r="C797" s="4" t="s">
        <v>741</v>
      </c>
      <c r="F797" s="46"/>
      <c r="G797" s="164"/>
    </row>
    <row r="798" spans="3:7" customFormat="1" x14ac:dyDescent="0.2">
      <c r="C798" s="4" t="s">
        <v>2260</v>
      </c>
      <c r="F798" s="46"/>
      <c r="G798" s="164"/>
    </row>
    <row r="799" spans="3:7" customFormat="1" x14ac:dyDescent="0.2">
      <c r="C799" s="4" t="s">
        <v>2261</v>
      </c>
      <c r="F799" s="46"/>
      <c r="G799" s="164"/>
    </row>
    <row r="800" spans="3:7" customFormat="1" x14ac:dyDescent="0.2">
      <c r="C800" s="4" t="s">
        <v>2262</v>
      </c>
      <c r="F800" s="46"/>
      <c r="G800" s="164"/>
    </row>
    <row r="801" spans="3:7" customFormat="1" x14ac:dyDescent="0.2">
      <c r="C801" s="4" t="s">
        <v>743</v>
      </c>
      <c r="F801" s="46"/>
      <c r="G801" s="164"/>
    </row>
    <row r="802" spans="3:7" customFormat="1" x14ac:dyDescent="0.2">
      <c r="C802" s="4" t="s">
        <v>2263</v>
      </c>
      <c r="F802" s="46"/>
      <c r="G802" s="164"/>
    </row>
    <row r="803" spans="3:7" customFormat="1" x14ac:dyDescent="0.2">
      <c r="C803" s="4" t="s">
        <v>2265</v>
      </c>
      <c r="F803" s="46"/>
      <c r="G803" s="164"/>
    </row>
    <row r="804" spans="3:7" customFormat="1" x14ac:dyDescent="0.2">
      <c r="C804" s="4" t="s">
        <v>2352</v>
      </c>
      <c r="F804" s="46"/>
      <c r="G804" s="164"/>
    </row>
    <row r="805" spans="3:7" customFormat="1" x14ac:dyDescent="0.2">
      <c r="C805" s="4" t="s">
        <v>2266</v>
      </c>
      <c r="F805" s="46"/>
      <c r="G805" s="164"/>
    </row>
    <row r="806" spans="3:7" customFormat="1" x14ac:dyDescent="0.2">
      <c r="C806" s="4" t="s">
        <v>2267</v>
      </c>
      <c r="F806" s="46"/>
      <c r="G806" s="164"/>
    </row>
    <row r="807" spans="3:7" customFormat="1" x14ac:dyDescent="0.2">
      <c r="C807" s="4" t="s">
        <v>2268</v>
      </c>
      <c r="F807" s="46"/>
      <c r="G807" s="164"/>
    </row>
    <row r="808" spans="3:7" customFormat="1" x14ac:dyDescent="0.2">
      <c r="C808" s="4" t="s">
        <v>2269</v>
      </c>
      <c r="F808" s="46"/>
      <c r="G808" s="164"/>
    </row>
    <row r="809" spans="3:7" customFormat="1" x14ac:dyDescent="0.2">
      <c r="C809" s="4" t="s">
        <v>988</v>
      </c>
      <c r="F809" s="46"/>
      <c r="G809" s="164"/>
    </row>
    <row r="810" spans="3:7" customFormat="1" x14ac:dyDescent="0.2">
      <c r="C810" s="4" t="s">
        <v>2270</v>
      </c>
      <c r="F810" s="46"/>
      <c r="G810" s="164"/>
    </row>
    <row r="811" spans="3:7" customFormat="1" x14ac:dyDescent="0.2">
      <c r="C811" s="4" t="s">
        <v>2353</v>
      </c>
      <c r="F811" s="46"/>
      <c r="G811" s="164"/>
    </row>
    <row r="812" spans="3:7" customFormat="1" x14ac:dyDescent="0.2">
      <c r="C812" s="4" t="s">
        <v>2271</v>
      </c>
      <c r="F812" s="46"/>
      <c r="G812" s="164"/>
    </row>
    <row r="813" spans="3:7" customFormat="1" x14ac:dyDescent="0.2">
      <c r="C813" s="4" t="s">
        <v>754</v>
      </c>
      <c r="F813" s="46"/>
      <c r="G813" s="164"/>
    </row>
    <row r="814" spans="3:7" customFormat="1" x14ac:dyDescent="0.2">
      <c r="C814" s="4" t="s">
        <v>756</v>
      </c>
      <c r="F814" s="46"/>
      <c r="G814" s="164"/>
    </row>
    <row r="815" spans="3:7" customFormat="1" x14ac:dyDescent="0.2">
      <c r="C815" s="4" t="s">
        <v>758</v>
      </c>
      <c r="F815" s="46"/>
      <c r="G815" s="164"/>
    </row>
    <row r="816" spans="3:7" customFormat="1" x14ac:dyDescent="0.2">
      <c r="C816" s="4" t="s">
        <v>2273</v>
      </c>
      <c r="F816" s="46"/>
      <c r="G816" s="164"/>
    </row>
    <row r="817" spans="3:7" customFormat="1" x14ac:dyDescent="0.2">
      <c r="C817" s="4" t="s">
        <v>2274</v>
      </c>
      <c r="F817" s="46"/>
      <c r="G817" s="164"/>
    </row>
    <row r="818" spans="3:7" customFormat="1" x14ac:dyDescent="0.2">
      <c r="C818" s="4" t="s">
        <v>2275</v>
      </c>
      <c r="F818" s="46"/>
      <c r="G818" s="164"/>
    </row>
    <row r="819" spans="3:7" customFormat="1" x14ac:dyDescent="0.2">
      <c r="C819" s="4" t="s">
        <v>2276</v>
      </c>
      <c r="F819" s="46"/>
      <c r="G819" s="164"/>
    </row>
    <row r="820" spans="3:7" customFormat="1" x14ac:dyDescent="0.2">
      <c r="C820" s="4" t="s">
        <v>778</v>
      </c>
      <c r="F820" s="46"/>
      <c r="G820" s="164"/>
    </row>
    <row r="821" spans="3:7" customFormat="1" x14ac:dyDescent="0.2">
      <c r="C821" s="4" t="s">
        <v>2354</v>
      </c>
      <c r="F821" s="46"/>
      <c r="G821" s="164"/>
    </row>
    <row r="822" spans="3:7" customFormat="1" x14ac:dyDescent="0.2">
      <c r="C822" s="4" t="s">
        <v>780</v>
      </c>
      <c r="F822" s="46"/>
      <c r="G822" s="164"/>
    </row>
    <row r="823" spans="3:7" customFormat="1" x14ac:dyDescent="0.2">
      <c r="C823" s="4" t="s">
        <v>2355</v>
      </c>
      <c r="F823" s="46"/>
      <c r="G823" s="164"/>
    </row>
    <row r="824" spans="3:7" customFormat="1" x14ac:dyDescent="0.2">
      <c r="C824" s="4" t="s">
        <v>2356</v>
      </c>
      <c r="F824" s="46"/>
      <c r="G824" s="164"/>
    </row>
    <row r="825" spans="3:7" customFormat="1" x14ac:dyDescent="0.2">
      <c r="C825" s="4" t="s">
        <v>2357</v>
      </c>
      <c r="F825" s="46"/>
      <c r="G825" s="164"/>
    </row>
    <row r="826" spans="3:7" customFormat="1" x14ac:dyDescent="0.2">
      <c r="C826" s="4" t="s">
        <v>2358</v>
      </c>
      <c r="F826" s="46"/>
      <c r="G826" s="164"/>
    </row>
    <row r="827" spans="3:7" customFormat="1" x14ac:dyDescent="0.2">
      <c r="C827" s="4" t="s">
        <v>2359</v>
      </c>
      <c r="F827" s="46"/>
      <c r="G827" s="164"/>
    </row>
    <row r="828" spans="3:7" customFormat="1" x14ac:dyDescent="0.2">
      <c r="C828" s="4" t="s">
        <v>2360</v>
      </c>
      <c r="F828" s="46"/>
      <c r="G828" s="164"/>
    </row>
    <row r="829" spans="3:7" customFormat="1" x14ac:dyDescent="0.2">
      <c r="C829" s="4" t="s">
        <v>2361</v>
      </c>
      <c r="F829" s="46"/>
      <c r="G829" s="164"/>
    </row>
    <row r="830" spans="3:7" customFormat="1" x14ac:dyDescent="0.2">
      <c r="C830" s="4" t="s">
        <v>577</v>
      </c>
      <c r="F830" s="46"/>
      <c r="G830" s="164"/>
    </row>
    <row r="831" spans="3:7" customFormat="1" x14ac:dyDescent="0.2">
      <c r="C831" s="4" t="s">
        <v>818</v>
      </c>
      <c r="F831" s="46"/>
      <c r="G831" s="164"/>
    </row>
    <row r="832" spans="3:7" customFormat="1" x14ac:dyDescent="0.2">
      <c r="C832" s="4" t="s">
        <v>855</v>
      </c>
      <c r="F832" s="46"/>
      <c r="G832" s="164"/>
    </row>
    <row r="833" spans="3:7" customFormat="1" x14ac:dyDescent="0.2">
      <c r="C833" s="4" t="s">
        <v>820</v>
      </c>
      <c r="F833" s="46"/>
      <c r="G833" s="164"/>
    </row>
    <row r="834" spans="3:7" customFormat="1" x14ac:dyDescent="0.2">
      <c r="C834" s="4" t="s">
        <v>2362</v>
      </c>
      <c r="F834" s="46"/>
      <c r="G834" s="164"/>
    </row>
    <row r="835" spans="3:7" customFormat="1" x14ac:dyDescent="0.2">
      <c r="C835" s="4" t="s">
        <v>2363</v>
      </c>
      <c r="F835" s="46"/>
      <c r="G835" s="164"/>
    </row>
    <row r="836" spans="3:7" customFormat="1" x14ac:dyDescent="0.2">
      <c r="C836" s="4" t="s">
        <v>2364</v>
      </c>
      <c r="F836" s="46"/>
      <c r="G836" s="164"/>
    </row>
    <row r="837" spans="3:7" customFormat="1" x14ac:dyDescent="0.2">
      <c r="C837" s="4" t="s">
        <v>2365</v>
      </c>
      <c r="F837" s="46"/>
      <c r="G837" s="164"/>
    </row>
    <row r="838" spans="3:7" customFormat="1" x14ac:dyDescent="0.2">
      <c r="C838" s="4" t="s">
        <v>2366</v>
      </c>
      <c r="F838" s="46"/>
      <c r="G838" s="164"/>
    </row>
    <row r="839" spans="3:7" customFormat="1" x14ac:dyDescent="0.2">
      <c r="C839" s="4" t="s">
        <v>2367</v>
      </c>
      <c r="F839" s="46"/>
      <c r="G839" s="164"/>
    </row>
    <row r="840" spans="3:7" customFormat="1" x14ac:dyDescent="0.2">
      <c r="C840" s="4" t="s">
        <v>824</v>
      </c>
      <c r="F840" s="46"/>
      <c r="G840" s="164"/>
    </row>
    <row r="841" spans="3:7" customFormat="1" x14ac:dyDescent="0.2">
      <c r="C841" s="4" t="s">
        <v>2368</v>
      </c>
      <c r="F841" s="46"/>
      <c r="G841" s="164"/>
    </row>
    <row r="842" spans="3:7" customFormat="1" x14ac:dyDescent="0.2">
      <c r="C842" s="4" t="s">
        <v>2369</v>
      </c>
      <c r="F842" s="46"/>
      <c r="G842" s="164"/>
    </row>
    <row r="843" spans="3:7" customFormat="1" x14ac:dyDescent="0.2">
      <c r="C843" s="4" t="s">
        <v>845</v>
      </c>
      <c r="F843" s="46"/>
      <c r="G843" s="164"/>
    </row>
    <row r="844" spans="3:7" customFormat="1" x14ac:dyDescent="0.2">
      <c r="C844" s="4" t="s">
        <v>847</v>
      </c>
      <c r="F844" s="46"/>
      <c r="G844" s="164"/>
    </row>
    <row r="845" spans="3:7" customFormat="1" x14ac:dyDescent="0.2">
      <c r="C845" s="4" t="s">
        <v>2370</v>
      </c>
      <c r="F845" s="46"/>
      <c r="G845" s="164"/>
    </row>
    <row r="846" spans="3:7" customFormat="1" x14ac:dyDescent="0.2">
      <c r="C846" s="4" t="s">
        <v>2371</v>
      </c>
      <c r="F846" s="46"/>
      <c r="G846" s="164"/>
    </row>
    <row r="847" spans="3:7" customFormat="1" x14ac:dyDescent="0.2">
      <c r="C847" s="4" t="s">
        <v>2372</v>
      </c>
      <c r="F847" s="46"/>
      <c r="G847" s="164"/>
    </row>
    <row r="848" spans="3:7" customFormat="1" x14ac:dyDescent="0.2">
      <c r="C848" s="4" t="s">
        <v>2373</v>
      </c>
      <c r="F848" s="46"/>
      <c r="G848" s="164"/>
    </row>
    <row r="849" spans="3:7" customFormat="1" x14ac:dyDescent="0.2">
      <c r="C849" s="4" t="s">
        <v>853</v>
      </c>
      <c r="F849" s="46"/>
      <c r="G849" s="164"/>
    </row>
    <row r="850" spans="3:7" customFormat="1" x14ac:dyDescent="0.2">
      <c r="C850" s="4" t="s">
        <v>2374</v>
      </c>
      <c r="F850" s="46"/>
      <c r="G850" s="164"/>
    </row>
    <row r="851" spans="3:7" customFormat="1" x14ac:dyDescent="0.2">
      <c r="C851" s="4" t="s">
        <v>859</v>
      </c>
      <c r="F851" s="46"/>
      <c r="G851" s="164"/>
    </row>
    <row r="852" spans="3:7" customFormat="1" x14ac:dyDescent="0.2">
      <c r="C852" s="4" t="s">
        <v>2375</v>
      </c>
      <c r="F852" s="46"/>
      <c r="G852" s="164"/>
    </row>
    <row r="853" spans="3:7" customFormat="1" x14ac:dyDescent="0.2">
      <c r="C853" s="4" t="s">
        <v>860</v>
      </c>
      <c r="F853" s="46"/>
      <c r="G853" s="164"/>
    </row>
    <row r="854" spans="3:7" customFormat="1" x14ac:dyDescent="0.2">
      <c r="C854" s="4" t="s">
        <v>862</v>
      </c>
      <c r="F854" s="46"/>
      <c r="G854" s="164"/>
    </row>
    <row r="855" spans="3:7" customFormat="1" x14ac:dyDescent="0.2">
      <c r="C855" s="4" t="s">
        <v>749</v>
      </c>
      <c r="F855" s="46"/>
      <c r="G855" s="164"/>
    </row>
    <row r="856" spans="3:7" customFormat="1" x14ac:dyDescent="0.2">
      <c r="C856" s="4" t="s">
        <v>2376</v>
      </c>
      <c r="F856" s="46"/>
      <c r="G856" s="164"/>
    </row>
    <row r="857" spans="3:7" customFormat="1" x14ac:dyDescent="0.2">
      <c r="C857" s="4" t="s">
        <v>867</v>
      </c>
      <c r="F857" s="46"/>
      <c r="G857" s="164"/>
    </row>
    <row r="858" spans="3:7" customFormat="1" x14ac:dyDescent="0.2">
      <c r="C858" s="4" t="s">
        <v>869</v>
      </c>
      <c r="F858" s="46"/>
      <c r="G858" s="164"/>
    </row>
    <row r="859" spans="3:7" customFormat="1" x14ac:dyDescent="0.2">
      <c r="C859" s="4" t="s">
        <v>2377</v>
      </c>
      <c r="F859" s="46"/>
      <c r="G859" s="164"/>
    </row>
    <row r="860" spans="3:7" customFormat="1" x14ac:dyDescent="0.2">
      <c r="C860" s="4" t="s">
        <v>2378</v>
      </c>
      <c r="F860" s="46"/>
      <c r="G860" s="164"/>
    </row>
    <row r="861" spans="3:7" customFormat="1" x14ac:dyDescent="0.2">
      <c r="C861" s="4" t="s">
        <v>2379</v>
      </c>
      <c r="F861" s="46"/>
      <c r="G861" s="164"/>
    </row>
    <row r="862" spans="3:7" customFormat="1" x14ac:dyDescent="0.2">
      <c r="C862" s="4" t="s">
        <v>2380</v>
      </c>
      <c r="F862" s="46"/>
      <c r="G862" s="164"/>
    </row>
    <row r="863" spans="3:7" customFormat="1" x14ac:dyDescent="0.2">
      <c r="C863" s="4" t="s">
        <v>786</v>
      </c>
      <c r="F863" s="46"/>
      <c r="G863" s="164"/>
    </row>
    <row r="864" spans="3:7" customFormat="1" x14ac:dyDescent="0.2">
      <c r="C864" s="4" t="s">
        <v>2381</v>
      </c>
      <c r="F864" s="46"/>
      <c r="G864" s="164"/>
    </row>
    <row r="865" spans="3:7" customFormat="1" x14ac:dyDescent="0.2">
      <c r="C865" s="4" t="s">
        <v>2382</v>
      </c>
      <c r="F865" s="46"/>
      <c r="G865" s="164"/>
    </row>
    <row r="866" spans="3:7" customFormat="1" x14ac:dyDescent="0.2">
      <c r="C866" s="4" t="s">
        <v>565</v>
      </c>
      <c r="F866" s="46"/>
      <c r="G866" s="164"/>
    </row>
    <row r="867" spans="3:7" customFormat="1" x14ac:dyDescent="0.2">
      <c r="C867" s="4" t="s">
        <v>2383</v>
      </c>
      <c r="F867" s="46"/>
      <c r="G867" s="164"/>
    </row>
    <row r="868" spans="3:7" customFormat="1" x14ac:dyDescent="0.2">
      <c r="C868" s="4" t="s">
        <v>385</v>
      </c>
      <c r="F868" s="46"/>
      <c r="G868" s="164"/>
    </row>
    <row r="869" spans="3:7" customFormat="1" x14ac:dyDescent="0.2">
      <c r="C869" s="4" t="s">
        <v>389</v>
      </c>
      <c r="F869" s="46"/>
      <c r="G869" s="164"/>
    </row>
    <row r="870" spans="3:7" customFormat="1" x14ac:dyDescent="0.2">
      <c r="C870" s="4" t="s">
        <v>398</v>
      </c>
      <c r="F870" s="46"/>
      <c r="G870" s="164"/>
    </row>
    <row r="871" spans="3:7" customFormat="1" x14ac:dyDescent="0.2">
      <c r="C871" s="4" t="s">
        <v>2384</v>
      </c>
      <c r="F871" s="46"/>
      <c r="G871" s="164"/>
    </row>
    <row r="872" spans="3:7" customFormat="1" x14ac:dyDescent="0.2">
      <c r="C872" s="4" t="s">
        <v>2385</v>
      </c>
      <c r="F872" s="46"/>
      <c r="G872" s="164"/>
    </row>
    <row r="873" spans="3:7" customFormat="1" x14ac:dyDescent="0.2">
      <c r="C873" s="4" t="s">
        <v>2386</v>
      </c>
      <c r="F873" s="46"/>
      <c r="G873" s="164"/>
    </row>
    <row r="874" spans="3:7" customFormat="1" x14ac:dyDescent="0.2">
      <c r="C874" s="4" t="s">
        <v>2387</v>
      </c>
      <c r="F874" s="46"/>
      <c r="G874" s="164"/>
    </row>
    <row r="875" spans="3:7" customFormat="1" x14ac:dyDescent="0.2">
      <c r="C875" s="4" t="s">
        <v>2388</v>
      </c>
      <c r="F875" s="46"/>
      <c r="G875" s="164"/>
    </row>
    <row r="876" spans="3:7" customFormat="1" x14ac:dyDescent="0.2">
      <c r="C876" s="5" t="s">
        <v>2389</v>
      </c>
      <c r="F876" s="46"/>
      <c r="G876" s="164"/>
    </row>
    <row r="877" spans="3:7" customFormat="1" x14ac:dyDescent="0.2">
      <c r="C877" s="4" t="s">
        <v>650</v>
      </c>
      <c r="F877" s="46"/>
      <c r="G877" s="164"/>
    </row>
    <row r="878" spans="3:7" customFormat="1" x14ac:dyDescent="0.2">
      <c r="C878" s="4" t="s">
        <v>482</v>
      </c>
      <c r="F878" s="46"/>
      <c r="G878" s="164"/>
    </row>
    <row r="879" spans="3:7" customFormat="1" x14ac:dyDescent="0.2">
      <c r="C879" s="4" t="s">
        <v>2390</v>
      </c>
      <c r="F879" s="46"/>
      <c r="G879" s="164"/>
    </row>
    <row r="880" spans="3:7" customFormat="1" x14ac:dyDescent="0.2">
      <c r="C880" s="4" t="s">
        <v>494</v>
      </c>
      <c r="F880" s="46"/>
      <c r="G880" s="164"/>
    </row>
    <row r="881" spans="3:7" customFormat="1" x14ac:dyDescent="0.2">
      <c r="C881" s="4" t="s">
        <v>2391</v>
      </c>
      <c r="F881" s="46"/>
      <c r="G881" s="164"/>
    </row>
    <row r="882" spans="3:7" customFormat="1" x14ac:dyDescent="0.2">
      <c r="C882" s="4" t="s">
        <v>2392</v>
      </c>
      <c r="F882" s="46"/>
      <c r="G882" s="164"/>
    </row>
    <row r="883" spans="3:7" customFormat="1" x14ac:dyDescent="0.2">
      <c r="C883" s="4" t="s">
        <v>563</v>
      </c>
      <c r="F883" s="46"/>
      <c r="G883" s="164"/>
    </row>
    <row r="884" spans="3:7" customFormat="1" x14ac:dyDescent="0.2">
      <c r="C884" s="4" t="s">
        <v>2393</v>
      </c>
      <c r="F884" s="46"/>
      <c r="G884" s="164"/>
    </row>
    <row r="885" spans="3:7" customFormat="1" x14ac:dyDescent="0.2">
      <c r="C885" s="4" t="s">
        <v>550</v>
      </c>
      <c r="F885" s="46"/>
      <c r="G885" s="164"/>
    </row>
    <row r="886" spans="3:7" customFormat="1" x14ac:dyDescent="0.2">
      <c r="C886" s="4" t="s">
        <v>552</v>
      </c>
      <c r="F886" s="46"/>
      <c r="G886" s="164"/>
    </row>
    <row r="887" spans="3:7" customFormat="1" x14ac:dyDescent="0.2">
      <c r="C887" s="4" t="s">
        <v>554</v>
      </c>
      <c r="F887" s="46"/>
      <c r="G887" s="164"/>
    </row>
    <row r="888" spans="3:7" customFormat="1" x14ac:dyDescent="0.2">
      <c r="C888" s="4" t="s">
        <v>2394</v>
      </c>
      <c r="F888" s="46"/>
      <c r="G888" s="164"/>
    </row>
    <row r="889" spans="3:7" customFormat="1" x14ac:dyDescent="0.2">
      <c r="C889" s="4" t="s">
        <v>721</v>
      </c>
      <c r="F889" s="46"/>
      <c r="G889" s="164"/>
    </row>
    <row r="890" spans="3:7" customFormat="1" x14ac:dyDescent="0.2">
      <c r="C890" s="4" t="s">
        <v>581</v>
      </c>
      <c r="F890" s="46"/>
      <c r="G890" s="164"/>
    </row>
    <row r="891" spans="3:7" customFormat="1" x14ac:dyDescent="0.2">
      <c r="C891" s="4" t="s">
        <v>2395</v>
      </c>
      <c r="F891" s="46"/>
      <c r="G891" s="164"/>
    </row>
    <row r="892" spans="3:7" customFormat="1" x14ac:dyDescent="0.2">
      <c r="C892" s="4" t="s">
        <v>2396</v>
      </c>
      <c r="F892" s="46"/>
      <c r="G892" s="164"/>
    </row>
    <row r="893" spans="3:7" customFormat="1" x14ac:dyDescent="0.2">
      <c r="C893" s="4" t="s">
        <v>588</v>
      </c>
      <c r="F893" s="46"/>
      <c r="G893" s="164"/>
    </row>
    <row r="894" spans="3:7" customFormat="1" x14ac:dyDescent="0.2">
      <c r="C894" s="4" t="s">
        <v>586</v>
      </c>
      <c r="F894" s="46"/>
      <c r="G894" s="164"/>
    </row>
    <row r="895" spans="3:7" customFormat="1" x14ac:dyDescent="0.2">
      <c r="C895" s="4" t="s">
        <v>2397</v>
      </c>
      <c r="F895" s="46"/>
      <c r="G895" s="164"/>
    </row>
    <row r="896" spans="3:7" customFormat="1" x14ac:dyDescent="0.2">
      <c r="C896" s="5" t="s">
        <v>2398</v>
      </c>
      <c r="F896" s="46"/>
      <c r="G896" s="164"/>
    </row>
    <row r="897" spans="3:7" customFormat="1" x14ac:dyDescent="0.2">
      <c r="C897" s="4" t="s">
        <v>634</v>
      </c>
      <c r="F897" s="46"/>
      <c r="G897" s="164"/>
    </row>
    <row r="898" spans="3:7" customFormat="1" x14ac:dyDescent="0.2">
      <c r="C898" s="4" t="s">
        <v>675</v>
      </c>
      <c r="F898" s="46"/>
      <c r="G898" s="164"/>
    </row>
    <row r="899" spans="3:7" customFormat="1" x14ac:dyDescent="0.2">
      <c r="C899" s="4" t="s">
        <v>665</v>
      </c>
      <c r="F899" s="46"/>
      <c r="G899" s="164"/>
    </row>
    <row r="900" spans="3:7" customFormat="1" x14ac:dyDescent="0.2">
      <c r="C900" s="4" t="s">
        <v>2399</v>
      </c>
      <c r="F900" s="46"/>
      <c r="G900" s="164"/>
    </row>
    <row r="901" spans="3:7" customFormat="1" x14ac:dyDescent="0.2">
      <c r="C901" s="4" t="s">
        <v>428</v>
      </c>
      <c r="F901" s="46"/>
      <c r="G901" s="164"/>
    </row>
    <row r="902" spans="3:7" customFormat="1" x14ac:dyDescent="0.2">
      <c r="C902" s="4" t="s">
        <v>677</v>
      </c>
      <c r="F902" s="46"/>
      <c r="G902" s="164"/>
    </row>
    <row r="903" spans="3:7" customFormat="1" x14ac:dyDescent="0.2">
      <c r="C903" s="4" t="s">
        <v>679</v>
      </c>
      <c r="F903" s="46"/>
      <c r="G903" s="164"/>
    </row>
    <row r="904" spans="3:7" customFormat="1" x14ac:dyDescent="0.2">
      <c r="C904" s="4" t="s">
        <v>2400</v>
      </c>
      <c r="F904" s="46"/>
      <c r="G904" s="164"/>
    </row>
    <row r="905" spans="3:7" customFormat="1" x14ac:dyDescent="0.2">
      <c r="C905" s="4" t="s">
        <v>687</v>
      </c>
      <c r="F905" s="46"/>
      <c r="G905" s="164"/>
    </row>
    <row r="906" spans="3:7" customFormat="1" x14ac:dyDescent="0.2">
      <c r="C906" s="4" t="s">
        <v>690</v>
      </c>
      <c r="F906" s="46"/>
      <c r="G906" s="164"/>
    </row>
    <row r="907" spans="3:7" customFormat="1" x14ac:dyDescent="0.2">
      <c r="C907" s="4" t="s">
        <v>723</v>
      </c>
      <c r="F907" s="46"/>
      <c r="G907" s="164"/>
    </row>
    <row r="908" spans="3:7" customFormat="1" x14ac:dyDescent="0.2">
      <c r="C908" s="4" t="s">
        <v>2401</v>
      </c>
      <c r="F908" s="46"/>
      <c r="G908" s="164"/>
    </row>
    <row r="909" spans="3:7" customFormat="1" x14ac:dyDescent="0.2">
      <c r="C909" s="4" t="s">
        <v>682</v>
      </c>
      <c r="F909" s="46"/>
      <c r="G909" s="164"/>
    </row>
    <row r="910" spans="3:7" customFormat="1" x14ac:dyDescent="0.2">
      <c r="C910" s="4" t="s">
        <v>760</v>
      </c>
      <c r="F910" s="46"/>
      <c r="G910" s="164"/>
    </row>
    <row r="911" spans="3:7" customFormat="1" x14ac:dyDescent="0.2">
      <c r="C911" s="4" t="s">
        <v>2402</v>
      </c>
      <c r="F911" s="46"/>
      <c r="G911" s="164"/>
    </row>
    <row r="912" spans="3:7" customFormat="1" x14ac:dyDescent="0.2">
      <c r="C912" s="4" t="s">
        <v>2403</v>
      </c>
      <c r="F912" s="46"/>
      <c r="G912" s="164"/>
    </row>
    <row r="913" spans="3:7" customFormat="1" x14ac:dyDescent="0.2">
      <c r="C913" s="4" t="s">
        <v>764</v>
      </c>
      <c r="F913" s="46"/>
      <c r="G913" s="164"/>
    </row>
    <row r="914" spans="3:7" customFormat="1" x14ac:dyDescent="0.2">
      <c r="C914" s="4" t="s">
        <v>766</v>
      </c>
      <c r="F914" s="46"/>
      <c r="G914" s="164"/>
    </row>
    <row r="915" spans="3:7" customFormat="1" x14ac:dyDescent="0.2">
      <c r="C915" s="4" t="s">
        <v>2404</v>
      </c>
      <c r="F915" s="46"/>
      <c r="G915" s="164"/>
    </row>
    <row r="916" spans="3:7" customFormat="1" x14ac:dyDescent="0.2">
      <c r="C916" s="4" t="s">
        <v>2405</v>
      </c>
      <c r="F916" s="46"/>
      <c r="G916" s="164"/>
    </row>
    <row r="917" spans="3:7" customFormat="1" x14ac:dyDescent="0.2">
      <c r="C917" s="4" t="s">
        <v>2406</v>
      </c>
      <c r="F917" s="46"/>
      <c r="G917" s="164"/>
    </row>
    <row r="918" spans="3:7" customFormat="1" x14ac:dyDescent="0.2">
      <c r="C918" s="4" t="s">
        <v>800</v>
      </c>
      <c r="F918" s="46"/>
      <c r="G918" s="164"/>
    </row>
    <row r="919" spans="3:7" customFormat="1" x14ac:dyDescent="0.2">
      <c r="C919" s="4" t="s">
        <v>2407</v>
      </c>
      <c r="F919" s="46"/>
      <c r="G919" s="164"/>
    </row>
    <row r="920" spans="3:7" customFormat="1" x14ac:dyDescent="0.2">
      <c r="C920" s="4" t="s">
        <v>802</v>
      </c>
      <c r="F920" s="46"/>
      <c r="G920" s="164"/>
    </row>
    <row r="921" spans="3:7" customFormat="1" x14ac:dyDescent="0.2">
      <c r="C921" s="4" t="s">
        <v>812</v>
      </c>
      <c r="F921" s="46"/>
      <c r="G921" s="164"/>
    </row>
    <row r="922" spans="3:7" customFormat="1" x14ac:dyDescent="0.2">
      <c r="C922" s="4" t="s">
        <v>808</v>
      </c>
      <c r="F922" s="46"/>
      <c r="G922" s="164"/>
    </row>
    <row r="923" spans="3:7" customFormat="1" x14ac:dyDescent="0.2">
      <c r="C923" s="4" t="s">
        <v>798</v>
      </c>
      <c r="F923" s="46"/>
      <c r="G923" s="164"/>
    </row>
    <row r="924" spans="3:7" customFormat="1" x14ac:dyDescent="0.2">
      <c r="C924" s="4" t="s">
        <v>1979</v>
      </c>
      <c r="F924" s="46"/>
      <c r="G924" s="164"/>
    </row>
    <row r="925" spans="3:7" customFormat="1" x14ac:dyDescent="0.2">
      <c r="C925" s="4" t="s">
        <v>1981</v>
      </c>
      <c r="F925" s="46"/>
      <c r="G925" s="164"/>
    </row>
    <row r="926" spans="3:7" customFormat="1" x14ac:dyDescent="0.2">
      <c r="C926" s="4" t="s">
        <v>1983</v>
      </c>
      <c r="F926" s="46"/>
      <c r="G926" s="164"/>
    </row>
    <row r="927" spans="3:7" customFormat="1" x14ac:dyDescent="0.2">
      <c r="C927" s="4" t="s">
        <v>806</v>
      </c>
      <c r="F927" s="46"/>
      <c r="G927" s="164"/>
    </row>
    <row r="928" spans="3:7" customFormat="1" x14ac:dyDescent="0.2">
      <c r="C928" s="5" t="s">
        <v>1987</v>
      </c>
      <c r="F928" s="46"/>
      <c r="G928" s="164"/>
    </row>
    <row r="929" spans="3:7" customFormat="1" x14ac:dyDescent="0.2">
      <c r="C929" s="5" t="s">
        <v>2408</v>
      </c>
      <c r="F929" s="46"/>
      <c r="G929" s="164"/>
    </row>
    <row r="930" spans="3:7" customFormat="1" x14ac:dyDescent="0.2">
      <c r="C930" s="4" t="s">
        <v>816</v>
      </c>
      <c r="F930" s="46"/>
      <c r="G930" s="164"/>
    </row>
    <row r="931" spans="3:7" customFormat="1" x14ac:dyDescent="0.2">
      <c r="C931" s="4" t="s">
        <v>822</v>
      </c>
      <c r="F931" s="46"/>
      <c r="G931" s="164"/>
    </row>
    <row r="932" spans="3:7" customFormat="1" x14ac:dyDescent="0.2">
      <c r="C932" s="4" t="s">
        <v>772</v>
      </c>
      <c r="F932" s="46"/>
      <c r="G932" s="164"/>
    </row>
    <row r="933" spans="3:7" customFormat="1" x14ac:dyDescent="0.2">
      <c r="C933" s="4" t="s">
        <v>673</v>
      </c>
      <c r="F933" s="46"/>
      <c r="G933" s="164"/>
    </row>
    <row r="934" spans="3:7" customFormat="1" x14ac:dyDescent="0.2">
      <c r="C934" s="4" t="s">
        <v>851</v>
      </c>
      <c r="F934" s="46"/>
      <c r="G934" s="164"/>
    </row>
    <row r="935" spans="3:7" customFormat="1" x14ac:dyDescent="0.2">
      <c r="C935" s="4" t="s">
        <v>849</v>
      </c>
      <c r="F935" s="46"/>
      <c r="G935" s="164"/>
    </row>
    <row r="936" spans="3:7" customFormat="1" x14ac:dyDescent="0.2">
      <c r="C936" s="4" t="s">
        <v>2409</v>
      </c>
      <c r="F936" s="46"/>
      <c r="G936" s="164"/>
    </row>
    <row r="937" spans="3:7" customFormat="1" x14ac:dyDescent="0.2">
      <c r="C937" s="4" t="s">
        <v>843</v>
      </c>
      <c r="F937" s="46"/>
      <c r="G937" s="164"/>
    </row>
    <row r="938" spans="3:7" customFormat="1" x14ac:dyDescent="0.2">
      <c r="C938" s="4" t="s">
        <v>841</v>
      </c>
      <c r="F938" s="46"/>
      <c r="G938" s="164"/>
    </row>
    <row r="939" spans="3:7" customFormat="1" x14ac:dyDescent="0.2">
      <c r="C939" s="4" t="s">
        <v>891</v>
      </c>
      <c r="F939" s="46"/>
      <c r="G939" s="164"/>
    </row>
    <row r="940" spans="3:7" customFormat="1" x14ac:dyDescent="0.2">
      <c r="C940" s="4" t="s">
        <v>636</v>
      </c>
      <c r="F940" s="46"/>
      <c r="G940" s="164"/>
    </row>
    <row r="941" spans="3:7" customFormat="1" x14ac:dyDescent="0.2">
      <c r="C941" s="4" t="s">
        <v>834</v>
      </c>
      <c r="F941" s="46"/>
      <c r="G941" s="164"/>
    </row>
    <row r="942" spans="3:7" customFormat="1" x14ac:dyDescent="0.2">
      <c r="C942" s="4" t="s">
        <v>832</v>
      </c>
      <c r="F942" s="46"/>
      <c r="G942" s="164"/>
    </row>
    <row r="943" spans="3:7" customFormat="1" x14ac:dyDescent="0.2">
      <c r="C943" s="4" t="s">
        <v>836</v>
      </c>
      <c r="F943" s="46"/>
      <c r="G943" s="164"/>
    </row>
    <row r="944" spans="3:7" customFormat="1" x14ac:dyDescent="0.2">
      <c r="C944" s="4" t="s">
        <v>839</v>
      </c>
      <c r="F944" s="46"/>
      <c r="G944" s="164"/>
    </row>
    <row r="945" spans="3:7" customFormat="1" x14ac:dyDescent="0.2">
      <c r="C945" s="4" t="s">
        <v>2410</v>
      </c>
      <c r="F945" s="46"/>
      <c r="G945" s="164"/>
    </row>
    <row r="946" spans="3:7" customFormat="1" x14ac:dyDescent="0.2">
      <c r="C946" s="4" t="s">
        <v>826</v>
      </c>
      <c r="F946" s="46"/>
      <c r="G946" s="164"/>
    </row>
    <row r="947" spans="3:7" customFormat="1" x14ac:dyDescent="0.2">
      <c r="C947" s="4" t="s">
        <v>671</v>
      </c>
      <c r="F947" s="46"/>
      <c r="G947" s="164"/>
    </row>
    <row r="948" spans="3:7" customFormat="1" x14ac:dyDescent="0.2">
      <c r="C948" s="4" t="s">
        <v>1374</v>
      </c>
      <c r="F948" s="46"/>
      <c r="G948" s="164"/>
    </row>
    <row r="949" spans="3:7" customFormat="1" x14ac:dyDescent="0.2">
      <c r="C949" s="39" t="s">
        <v>1364</v>
      </c>
      <c r="F949" s="46"/>
      <c r="G949" s="164"/>
    </row>
    <row r="950" spans="3:7" customFormat="1" x14ac:dyDescent="0.2">
      <c r="C950" s="4" t="s">
        <v>2411</v>
      </c>
      <c r="F950" s="46"/>
      <c r="G950" s="164"/>
    </row>
    <row r="951" spans="3:7" customFormat="1" x14ac:dyDescent="0.2">
      <c r="C951" s="4" t="s">
        <v>2412</v>
      </c>
      <c r="F951" s="46"/>
      <c r="G951" s="164"/>
    </row>
    <row r="952" spans="3:7" customFormat="1" x14ac:dyDescent="0.2">
      <c r="C952" s="4" t="s">
        <v>2413</v>
      </c>
      <c r="F952" s="46"/>
      <c r="G952" s="164"/>
    </row>
    <row r="953" spans="3:7" customFormat="1" x14ac:dyDescent="0.2">
      <c r="C953" s="4" t="s">
        <v>2414</v>
      </c>
      <c r="F953" s="46"/>
      <c r="G953" s="164"/>
    </row>
    <row r="954" spans="3:7" customFormat="1" x14ac:dyDescent="0.2">
      <c r="C954" s="4" t="s">
        <v>1322</v>
      </c>
      <c r="F954" s="46"/>
      <c r="G954" s="164"/>
    </row>
    <row r="955" spans="3:7" customFormat="1" x14ac:dyDescent="0.2">
      <c r="C955" s="4" t="s">
        <v>2415</v>
      </c>
      <c r="F955" s="46"/>
      <c r="G955" s="164"/>
    </row>
    <row r="956" spans="3:7" customFormat="1" x14ac:dyDescent="0.2">
      <c r="C956" s="9" t="s">
        <v>2415</v>
      </c>
      <c r="F956" s="46"/>
      <c r="G956" s="164"/>
    </row>
    <row r="957" spans="3:7" customFormat="1" x14ac:dyDescent="0.2">
      <c r="C957" s="4" t="s">
        <v>1316</v>
      </c>
      <c r="F957" s="46"/>
      <c r="G957" s="164"/>
    </row>
    <row r="958" spans="3:7" customFormat="1" x14ac:dyDescent="0.2">
      <c r="C958" s="4" t="s">
        <v>2416</v>
      </c>
      <c r="F958" s="46"/>
      <c r="G958" s="164"/>
    </row>
    <row r="959" spans="3:7" customFormat="1" x14ac:dyDescent="0.2">
      <c r="C959" s="4" t="s">
        <v>2417</v>
      </c>
      <c r="F959" s="46"/>
      <c r="G959" s="164"/>
    </row>
    <row r="960" spans="3:7" customFormat="1" x14ac:dyDescent="0.2">
      <c r="C960" s="4" t="s">
        <v>1328</v>
      </c>
      <c r="F960" s="46"/>
      <c r="G960" s="164"/>
    </row>
    <row r="961" spans="3:7" customFormat="1" x14ac:dyDescent="0.2">
      <c r="C961" s="4" t="s">
        <v>2418</v>
      </c>
      <c r="F961" s="46"/>
      <c r="G961" s="164"/>
    </row>
    <row r="962" spans="3:7" customFormat="1" x14ac:dyDescent="0.2">
      <c r="C962" s="4" t="s">
        <v>1526</v>
      </c>
      <c r="F962" s="46"/>
      <c r="G962" s="164"/>
    </row>
    <row r="963" spans="3:7" customFormat="1" x14ac:dyDescent="0.2">
      <c r="C963" s="4" t="s">
        <v>2419</v>
      </c>
      <c r="F963" s="46"/>
      <c r="G963" s="164"/>
    </row>
    <row r="964" spans="3:7" customFormat="1" x14ac:dyDescent="0.2">
      <c r="C964" s="4" t="s">
        <v>2420</v>
      </c>
      <c r="F964" s="46"/>
      <c r="G964" s="164"/>
    </row>
    <row r="965" spans="3:7" customFormat="1" x14ac:dyDescent="0.2">
      <c r="C965" s="4" t="s">
        <v>1342</v>
      </c>
      <c r="F965" s="46"/>
      <c r="G965" s="164"/>
    </row>
    <row r="966" spans="3:7" customFormat="1" x14ac:dyDescent="0.2">
      <c r="C966" s="4" t="s">
        <v>980</v>
      </c>
      <c r="F966" s="46"/>
      <c r="G966" s="164"/>
    </row>
    <row r="967" spans="3:7" customFormat="1" x14ac:dyDescent="0.2">
      <c r="C967" s="4" t="s">
        <v>2421</v>
      </c>
      <c r="F967" s="46"/>
      <c r="G967" s="164"/>
    </row>
    <row r="968" spans="3:7" customFormat="1" x14ac:dyDescent="0.2">
      <c r="C968" s="5" t="s">
        <v>2422</v>
      </c>
      <c r="F968" s="46"/>
      <c r="G968" s="164"/>
    </row>
    <row r="969" spans="3:7" customFormat="1" x14ac:dyDescent="0.2">
      <c r="C969" s="4" t="s">
        <v>2423</v>
      </c>
      <c r="F969" s="46"/>
      <c r="G969" s="164"/>
    </row>
    <row r="970" spans="3:7" customFormat="1" x14ac:dyDescent="0.2">
      <c r="C970" s="4" t="s">
        <v>2424</v>
      </c>
      <c r="F970" s="46"/>
      <c r="G970" s="164"/>
    </row>
    <row r="971" spans="3:7" customFormat="1" x14ac:dyDescent="0.2">
      <c r="C971" s="4" t="s">
        <v>2425</v>
      </c>
      <c r="F971" s="46"/>
      <c r="G971" s="164"/>
    </row>
    <row r="972" spans="3:7" customFormat="1" x14ac:dyDescent="0.2">
      <c r="C972" s="4" t="s">
        <v>1394</v>
      </c>
      <c r="F972" s="46"/>
      <c r="G972" s="164"/>
    </row>
    <row r="973" spans="3:7" customFormat="1" x14ac:dyDescent="0.2">
      <c r="C973" s="4" t="s">
        <v>2426</v>
      </c>
      <c r="F973" s="46"/>
      <c r="G973" s="164"/>
    </row>
    <row r="974" spans="3:7" customFormat="1" x14ac:dyDescent="0.2">
      <c r="C974" s="11" t="s">
        <v>2427</v>
      </c>
      <c r="F974" s="46"/>
      <c r="G974" s="164"/>
    </row>
    <row r="975" spans="3:7" customFormat="1" x14ac:dyDescent="0.2">
      <c r="C975" s="11" t="s">
        <v>2428</v>
      </c>
      <c r="F975" s="46"/>
      <c r="G975" s="164"/>
    </row>
    <row r="976" spans="3:7" customFormat="1" x14ac:dyDescent="0.2">
      <c r="C976" s="4" t="s">
        <v>2429</v>
      </c>
      <c r="F976" s="46"/>
      <c r="G976" s="164"/>
    </row>
    <row r="977" spans="3:7" customFormat="1" x14ac:dyDescent="0.2">
      <c r="C977" s="4" t="s">
        <v>2430</v>
      </c>
      <c r="F977" s="46"/>
      <c r="G977" s="164"/>
    </row>
    <row r="978" spans="3:7" customFormat="1" x14ac:dyDescent="0.2">
      <c r="C978" s="4" t="s">
        <v>2431</v>
      </c>
      <c r="F978" s="46"/>
      <c r="G978" s="164"/>
    </row>
    <row r="979" spans="3:7" customFormat="1" x14ac:dyDescent="0.2">
      <c r="C979" s="4" t="s">
        <v>2432</v>
      </c>
      <c r="F979" s="46"/>
      <c r="G979" s="164"/>
    </row>
    <row r="980" spans="3:7" customFormat="1" x14ac:dyDescent="0.2">
      <c r="C980" s="4" t="s">
        <v>2433</v>
      </c>
      <c r="F980" s="46"/>
      <c r="G980" s="164"/>
    </row>
    <row r="981" spans="3:7" customFormat="1" x14ac:dyDescent="0.2">
      <c r="C981" s="4" t="s">
        <v>1381</v>
      </c>
      <c r="F981" s="46"/>
      <c r="G981" s="164"/>
    </row>
    <row r="982" spans="3:7" customFormat="1" x14ac:dyDescent="0.2">
      <c r="C982" s="4" t="s">
        <v>1396</v>
      </c>
      <c r="F982" s="46"/>
      <c r="G982" s="164"/>
    </row>
    <row r="983" spans="3:7" customFormat="1" x14ac:dyDescent="0.2">
      <c r="C983" s="4" t="s">
        <v>2434</v>
      </c>
      <c r="F983" s="46"/>
      <c r="G983" s="164"/>
    </row>
    <row r="984" spans="3:7" customFormat="1" x14ac:dyDescent="0.2">
      <c r="C984" s="4" t="s">
        <v>1314</v>
      </c>
      <c r="F984" s="46"/>
      <c r="G984" s="164"/>
    </row>
    <row r="985" spans="3:7" customFormat="1" x14ac:dyDescent="0.2">
      <c r="C985" s="116" t="s">
        <v>1314</v>
      </c>
      <c r="F985" s="46"/>
      <c r="G985" s="164"/>
    </row>
    <row r="986" spans="3:7" customFormat="1" x14ac:dyDescent="0.2">
      <c r="C986" s="4" t="s">
        <v>2435</v>
      </c>
      <c r="F986" s="46"/>
      <c r="G986" s="164"/>
    </row>
    <row r="987" spans="3:7" customFormat="1" x14ac:dyDescent="0.2">
      <c r="C987" s="4" t="s">
        <v>1295</v>
      </c>
      <c r="F987" s="46"/>
      <c r="G987" s="164"/>
    </row>
    <row r="988" spans="3:7" customFormat="1" x14ac:dyDescent="0.2">
      <c r="C988" s="4" t="s">
        <v>2436</v>
      </c>
      <c r="F988" s="46"/>
      <c r="G988" s="164"/>
    </row>
    <row r="989" spans="3:7" customFormat="1" x14ac:dyDescent="0.2">
      <c r="C989" s="4" t="s">
        <v>2437</v>
      </c>
      <c r="F989" s="46"/>
      <c r="G989" s="164"/>
    </row>
    <row r="990" spans="3:7" customFormat="1" x14ac:dyDescent="0.2">
      <c r="C990" s="4" t="s">
        <v>2438</v>
      </c>
      <c r="F990" s="46"/>
      <c r="G990" s="164"/>
    </row>
    <row r="991" spans="3:7" customFormat="1" x14ac:dyDescent="0.2">
      <c r="C991" s="4" t="s">
        <v>2439</v>
      </c>
      <c r="F991" s="46"/>
      <c r="G991" s="164"/>
    </row>
    <row r="992" spans="3:7" customFormat="1" x14ac:dyDescent="0.2">
      <c r="C992" s="4" t="s">
        <v>2440</v>
      </c>
      <c r="F992" s="46"/>
      <c r="G992" s="164"/>
    </row>
    <row r="993" spans="3:7" customFormat="1" x14ac:dyDescent="0.2">
      <c r="C993" s="4" t="s">
        <v>2441</v>
      </c>
      <c r="F993" s="46"/>
      <c r="G993" s="164"/>
    </row>
    <row r="994" spans="3:7" customFormat="1" x14ac:dyDescent="0.2">
      <c r="C994" s="4" t="s">
        <v>2442</v>
      </c>
      <c r="F994" s="46"/>
      <c r="G994" s="164"/>
    </row>
    <row r="995" spans="3:7" customFormat="1" x14ac:dyDescent="0.2">
      <c r="C995" s="4" t="s">
        <v>1356</v>
      </c>
      <c r="F995" s="46"/>
      <c r="G995" s="164"/>
    </row>
    <row r="996" spans="3:7" customFormat="1" x14ac:dyDescent="0.2">
      <c r="C996" s="4" t="s">
        <v>2443</v>
      </c>
      <c r="F996" s="46"/>
      <c r="G996" s="164"/>
    </row>
    <row r="997" spans="3:7" customFormat="1" x14ac:dyDescent="0.2">
      <c r="C997" s="4" t="s">
        <v>2444</v>
      </c>
      <c r="F997" s="46"/>
      <c r="G997" s="164"/>
    </row>
    <row r="998" spans="3:7" customFormat="1" x14ac:dyDescent="0.2">
      <c r="C998" s="4" t="s">
        <v>2445</v>
      </c>
      <c r="F998" s="46"/>
      <c r="G998" s="164"/>
    </row>
    <row r="999" spans="3:7" customFormat="1" x14ac:dyDescent="0.2">
      <c r="C999" s="4" t="s">
        <v>2446</v>
      </c>
      <c r="F999" s="46"/>
      <c r="G999" s="164"/>
    </row>
    <row r="1000" spans="3:7" customFormat="1" x14ac:dyDescent="0.2">
      <c r="C1000" s="4" t="s">
        <v>2447</v>
      </c>
      <c r="F1000" s="46"/>
      <c r="G1000" s="164"/>
    </row>
    <row r="1001" spans="3:7" customFormat="1" x14ac:dyDescent="0.2">
      <c r="C1001" s="4" t="s">
        <v>2448</v>
      </c>
      <c r="F1001" s="46"/>
      <c r="G1001" s="164"/>
    </row>
    <row r="1002" spans="3:7" customFormat="1" x14ac:dyDescent="0.2">
      <c r="C1002" s="4" t="s">
        <v>2449</v>
      </c>
      <c r="F1002" s="46"/>
      <c r="G1002" s="164"/>
    </row>
    <row r="1003" spans="3:7" customFormat="1" x14ac:dyDescent="0.2">
      <c r="C1003" s="4" t="s">
        <v>2450</v>
      </c>
      <c r="F1003" s="46"/>
      <c r="G1003" s="164"/>
    </row>
    <row r="1004" spans="3:7" customFormat="1" x14ac:dyDescent="0.2">
      <c r="C1004" s="4" t="s">
        <v>2451</v>
      </c>
      <c r="F1004" s="46"/>
      <c r="G1004" s="164"/>
    </row>
    <row r="1005" spans="3:7" customFormat="1" x14ac:dyDescent="0.2">
      <c r="C1005" s="4" t="s">
        <v>2452</v>
      </c>
      <c r="F1005" s="46"/>
      <c r="G1005" s="164"/>
    </row>
    <row r="1006" spans="3:7" customFormat="1" x14ac:dyDescent="0.2">
      <c r="C1006" s="4" t="s">
        <v>2453</v>
      </c>
      <c r="F1006" s="46"/>
      <c r="G1006" s="164"/>
    </row>
    <row r="1007" spans="3:7" customFormat="1" x14ac:dyDescent="0.2">
      <c r="C1007" s="4" t="s">
        <v>2454</v>
      </c>
      <c r="F1007" s="46"/>
      <c r="G1007" s="164"/>
    </row>
    <row r="1008" spans="3:7" customFormat="1" x14ac:dyDescent="0.2">
      <c r="C1008" s="4" t="s">
        <v>2455</v>
      </c>
      <c r="F1008" s="46"/>
      <c r="G1008" s="164"/>
    </row>
    <row r="1009" spans="3:7" customFormat="1" x14ac:dyDescent="0.2">
      <c r="C1009" s="4" t="s">
        <v>2456</v>
      </c>
      <c r="F1009" s="46"/>
      <c r="G1009" s="164"/>
    </row>
    <row r="1010" spans="3:7" customFormat="1" x14ac:dyDescent="0.2">
      <c r="C1010" s="4" t="s">
        <v>2457</v>
      </c>
      <c r="F1010" s="46"/>
      <c r="G1010" s="164"/>
    </row>
    <row r="1011" spans="3:7" customFormat="1" x14ac:dyDescent="0.2">
      <c r="C1011" s="4" t="s">
        <v>2458</v>
      </c>
      <c r="F1011" s="46"/>
      <c r="G1011" s="164"/>
    </row>
    <row r="1012" spans="3:7" customFormat="1" x14ac:dyDescent="0.2">
      <c r="C1012" s="4" t="s">
        <v>2459</v>
      </c>
      <c r="F1012" s="46"/>
      <c r="G1012" s="164"/>
    </row>
    <row r="1013" spans="3:7" customFormat="1" x14ac:dyDescent="0.2">
      <c r="C1013" s="4" t="s">
        <v>2460</v>
      </c>
      <c r="F1013" s="46"/>
      <c r="G1013" s="164"/>
    </row>
    <row r="1014" spans="3:7" customFormat="1" x14ac:dyDescent="0.2">
      <c r="C1014" s="4" t="s">
        <v>2461</v>
      </c>
      <c r="F1014" s="46"/>
      <c r="G1014" s="164"/>
    </row>
    <row r="1015" spans="3:7" customFormat="1" x14ac:dyDescent="0.2">
      <c r="C1015" s="4" t="s">
        <v>1275</v>
      </c>
      <c r="F1015" s="46"/>
      <c r="G1015" s="164"/>
    </row>
    <row r="1016" spans="3:7" customFormat="1" x14ac:dyDescent="0.2">
      <c r="C1016" s="4" t="s">
        <v>2462</v>
      </c>
      <c r="F1016" s="46"/>
      <c r="G1016" s="164"/>
    </row>
    <row r="1017" spans="3:7" customFormat="1" x14ac:dyDescent="0.2">
      <c r="C1017" s="4" t="s">
        <v>2463</v>
      </c>
      <c r="F1017" s="46"/>
      <c r="G1017" s="164"/>
    </row>
    <row r="1018" spans="3:7" customFormat="1" x14ac:dyDescent="0.2">
      <c r="C1018" s="4" t="s">
        <v>2464</v>
      </c>
      <c r="F1018" s="46"/>
      <c r="G1018" s="164"/>
    </row>
    <row r="1019" spans="3:7" customFormat="1" x14ac:dyDescent="0.2">
      <c r="C1019" s="4" t="s">
        <v>2465</v>
      </c>
      <c r="F1019" s="46"/>
      <c r="G1019" s="164"/>
    </row>
    <row r="1020" spans="3:7" customFormat="1" x14ac:dyDescent="0.2">
      <c r="C1020" s="4" t="s">
        <v>2466</v>
      </c>
      <c r="F1020" s="46"/>
      <c r="G1020" s="164"/>
    </row>
    <row r="1021" spans="3:7" customFormat="1" x14ac:dyDescent="0.2">
      <c r="C1021" s="4" t="s">
        <v>2467</v>
      </c>
      <c r="F1021" s="46"/>
      <c r="G1021" s="164"/>
    </row>
    <row r="1022" spans="3:7" customFormat="1" x14ac:dyDescent="0.2">
      <c r="C1022" s="4" t="s">
        <v>2468</v>
      </c>
      <c r="F1022" s="46"/>
      <c r="G1022" s="164"/>
    </row>
    <row r="1023" spans="3:7" customFormat="1" x14ac:dyDescent="0.2">
      <c r="C1023" s="4" t="s">
        <v>2469</v>
      </c>
      <c r="F1023" s="46"/>
      <c r="G1023" s="164"/>
    </row>
    <row r="1024" spans="3:7" customFormat="1" x14ac:dyDescent="0.2">
      <c r="C1024" s="4" t="s">
        <v>2470</v>
      </c>
      <c r="F1024" s="46"/>
      <c r="G1024" s="164"/>
    </row>
    <row r="1025" spans="3:7" customFormat="1" x14ac:dyDescent="0.2">
      <c r="C1025" s="4" t="s">
        <v>2471</v>
      </c>
      <c r="F1025" s="46"/>
      <c r="G1025" s="164"/>
    </row>
    <row r="1026" spans="3:7" customFormat="1" x14ac:dyDescent="0.2">
      <c r="C1026" s="4" t="s">
        <v>2472</v>
      </c>
      <c r="F1026" s="46"/>
      <c r="G1026" s="164"/>
    </row>
    <row r="1027" spans="3:7" customFormat="1" x14ac:dyDescent="0.2">
      <c r="C1027" s="4" t="s">
        <v>2473</v>
      </c>
      <c r="F1027" s="46"/>
      <c r="G1027" s="164"/>
    </row>
    <row r="1028" spans="3:7" customFormat="1" x14ac:dyDescent="0.2">
      <c r="C1028" s="4" t="s">
        <v>2474</v>
      </c>
      <c r="F1028" s="46"/>
      <c r="G1028" s="164"/>
    </row>
    <row r="1029" spans="3:7" customFormat="1" x14ac:dyDescent="0.2">
      <c r="C1029" s="4" t="s">
        <v>2475</v>
      </c>
      <c r="F1029" s="46"/>
      <c r="G1029" s="164"/>
    </row>
    <row r="1030" spans="3:7" customFormat="1" x14ac:dyDescent="0.2">
      <c r="C1030" s="4" t="s">
        <v>2476</v>
      </c>
      <c r="F1030" s="46"/>
      <c r="G1030" s="164"/>
    </row>
    <row r="1031" spans="3:7" customFormat="1" x14ac:dyDescent="0.2">
      <c r="C1031" s="4" t="s">
        <v>2477</v>
      </c>
      <c r="F1031" s="46"/>
      <c r="G1031" s="164"/>
    </row>
    <row r="1032" spans="3:7" customFormat="1" x14ac:dyDescent="0.2">
      <c r="C1032" s="4" t="s">
        <v>2478</v>
      </c>
      <c r="F1032" s="46"/>
      <c r="G1032" s="164"/>
    </row>
    <row r="1033" spans="3:7" customFormat="1" x14ac:dyDescent="0.2">
      <c r="C1033" s="4" t="s">
        <v>2479</v>
      </c>
      <c r="F1033" s="46"/>
      <c r="G1033" s="164"/>
    </row>
    <row r="1034" spans="3:7" customFormat="1" x14ac:dyDescent="0.2">
      <c r="C1034" s="4" t="s">
        <v>2480</v>
      </c>
      <c r="F1034" s="46"/>
      <c r="G1034" s="164"/>
    </row>
    <row r="1035" spans="3:7" customFormat="1" x14ac:dyDescent="0.2">
      <c r="C1035" s="4" t="s">
        <v>2481</v>
      </c>
      <c r="F1035" s="46"/>
      <c r="G1035" s="164"/>
    </row>
    <row r="1036" spans="3:7" customFormat="1" x14ac:dyDescent="0.2">
      <c r="C1036" s="4" t="s">
        <v>2482</v>
      </c>
      <c r="F1036" s="46"/>
      <c r="G1036" s="164"/>
    </row>
    <row r="1037" spans="3:7" customFormat="1" x14ac:dyDescent="0.2">
      <c r="C1037" s="4" t="s">
        <v>2483</v>
      </c>
      <c r="F1037" s="46"/>
      <c r="G1037" s="164"/>
    </row>
    <row r="1038" spans="3:7" customFormat="1" x14ac:dyDescent="0.2">
      <c r="C1038" s="4" t="s">
        <v>1263</v>
      </c>
      <c r="F1038" s="46"/>
      <c r="G1038" s="164"/>
    </row>
    <row r="1039" spans="3:7" customFormat="1" x14ac:dyDescent="0.2">
      <c r="C1039" s="4" t="s">
        <v>2484</v>
      </c>
      <c r="F1039" s="46"/>
      <c r="G1039" s="164"/>
    </row>
    <row r="1040" spans="3:7" customFormat="1" x14ac:dyDescent="0.2">
      <c r="C1040" s="4" t="s">
        <v>2485</v>
      </c>
      <c r="F1040" s="46"/>
      <c r="G1040" s="164"/>
    </row>
    <row r="1041" spans="3:7" customFormat="1" x14ac:dyDescent="0.2">
      <c r="C1041" s="4" t="s">
        <v>2486</v>
      </c>
      <c r="F1041" s="46"/>
      <c r="G1041" s="164"/>
    </row>
    <row r="1042" spans="3:7" customFormat="1" x14ac:dyDescent="0.2">
      <c r="C1042" s="4" t="s">
        <v>2487</v>
      </c>
      <c r="F1042" s="46"/>
      <c r="G1042" s="164"/>
    </row>
    <row r="1043" spans="3:7" customFormat="1" x14ac:dyDescent="0.2">
      <c r="C1043" s="4" t="s">
        <v>2488</v>
      </c>
      <c r="F1043" s="46"/>
      <c r="G1043" s="164"/>
    </row>
    <row r="1044" spans="3:7" customFormat="1" x14ac:dyDescent="0.2">
      <c r="C1044" s="4" t="s">
        <v>2489</v>
      </c>
      <c r="F1044" s="46"/>
      <c r="G1044" s="164"/>
    </row>
    <row r="1045" spans="3:7" customFormat="1" x14ac:dyDescent="0.2">
      <c r="C1045" s="4" t="s">
        <v>2490</v>
      </c>
      <c r="F1045" s="46"/>
      <c r="G1045" s="164"/>
    </row>
    <row r="1046" spans="3:7" customFormat="1" x14ac:dyDescent="0.2">
      <c r="C1046" s="4" t="s">
        <v>2491</v>
      </c>
      <c r="F1046" s="46"/>
      <c r="G1046" s="164"/>
    </row>
    <row r="1047" spans="3:7" customFormat="1" x14ac:dyDescent="0.2">
      <c r="C1047" s="4" t="s">
        <v>2492</v>
      </c>
      <c r="F1047" s="46"/>
      <c r="G1047" s="164"/>
    </row>
    <row r="1048" spans="3:7" customFormat="1" x14ac:dyDescent="0.2">
      <c r="C1048" s="4" t="s">
        <v>2493</v>
      </c>
      <c r="F1048" s="46"/>
      <c r="G1048" s="164"/>
    </row>
    <row r="1049" spans="3:7" customFormat="1" x14ac:dyDescent="0.2">
      <c r="C1049" s="4" t="s">
        <v>2494</v>
      </c>
      <c r="F1049" s="46"/>
      <c r="G1049" s="164"/>
    </row>
    <row r="1050" spans="3:7" customFormat="1" x14ac:dyDescent="0.2">
      <c r="C1050" s="4" t="s">
        <v>2495</v>
      </c>
      <c r="F1050" s="46"/>
      <c r="G1050" s="164"/>
    </row>
    <row r="1051" spans="3:7" customFormat="1" x14ac:dyDescent="0.2">
      <c r="C1051" s="4" t="s">
        <v>2496</v>
      </c>
      <c r="F1051" s="46"/>
      <c r="G1051" s="164"/>
    </row>
    <row r="1052" spans="3:7" customFormat="1" x14ac:dyDescent="0.2">
      <c r="C1052" s="4" t="s">
        <v>1290</v>
      </c>
      <c r="F1052" s="46"/>
      <c r="G1052" s="164"/>
    </row>
    <row r="1053" spans="3:7" customFormat="1" x14ac:dyDescent="0.2">
      <c r="C1053" s="4" t="s">
        <v>2497</v>
      </c>
      <c r="F1053" s="46"/>
      <c r="G1053" s="164"/>
    </row>
    <row r="1054" spans="3:7" customFormat="1" x14ac:dyDescent="0.2">
      <c r="C1054" s="4" t="s">
        <v>2498</v>
      </c>
      <c r="F1054" s="46"/>
      <c r="G1054" s="164"/>
    </row>
    <row r="1055" spans="3:7" customFormat="1" x14ac:dyDescent="0.2">
      <c r="C1055" s="4" t="s">
        <v>1299</v>
      </c>
      <c r="F1055" s="46"/>
      <c r="G1055" s="164"/>
    </row>
    <row r="1056" spans="3:7" customFormat="1" x14ac:dyDescent="0.2">
      <c r="C1056" s="4" t="s">
        <v>2499</v>
      </c>
      <c r="F1056" s="46"/>
      <c r="G1056" s="164"/>
    </row>
    <row r="1057" spans="3:7" customFormat="1" x14ac:dyDescent="0.2">
      <c r="C1057" s="4" t="s">
        <v>2500</v>
      </c>
      <c r="F1057" s="46"/>
      <c r="G1057" s="164"/>
    </row>
    <row r="1058" spans="3:7" customFormat="1" x14ac:dyDescent="0.2">
      <c r="C1058" s="4" t="s">
        <v>2501</v>
      </c>
      <c r="F1058" s="46"/>
      <c r="G1058" s="164"/>
    </row>
    <row r="1059" spans="3:7" customFormat="1" x14ac:dyDescent="0.2">
      <c r="C1059" s="4" t="s">
        <v>2502</v>
      </c>
      <c r="F1059" s="46"/>
      <c r="G1059" s="164"/>
    </row>
    <row r="1060" spans="3:7" customFormat="1" x14ac:dyDescent="0.2">
      <c r="C1060" s="4" t="s">
        <v>2503</v>
      </c>
      <c r="F1060" s="46"/>
      <c r="G1060" s="164"/>
    </row>
    <row r="1061" spans="3:7" customFormat="1" x14ac:dyDescent="0.2">
      <c r="C1061" s="4" t="s">
        <v>2504</v>
      </c>
      <c r="F1061" s="46"/>
      <c r="G1061" s="164"/>
    </row>
    <row r="1062" spans="3:7" customFormat="1" x14ac:dyDescent="0.2">
      <c r="C1062" s="4" t="s">
        <v>2505</v>
      </c>
      <c r="F1062" s="46"/>
      <c r="G1062" s="164"/>
    </row>
    <row r="1063" spans="3:7" customFormat="1" x14ac:dyDescent="0.2">
      <c r="C1063" s="4" t="s">
        <v>2506</v>
      </c>
      <c r="F1063" s="46"/>
      <c r="G1063" s="164"/>
    </row>
    <row r="1064" spans="3:7" customFormat="1" x14ac:dyDescent="0.2">
      <c r="C1064" s="4" t="s">
        <v>2507</v>
      </c>
      <c r="F1064" s="46"/>
      <c r="G1064" s="164"/>
    </row>
    <row r="1065" spans="3:7" customFormat="1" x14ac:dyDescent="0.2">
      <c r="C1065" s="4" t="s">
        <v>2508</v>
      </c>
      <c r="F1065" s="46"/>
      <c r="G1065" s="164"/>
    </row>
    <row r="1066" spans="3:7" customFormat="1" x14ac:dyDescent="0.2">
      <c r="C1066" s="4" t="s">
        <v>2509</v>
      </c>
      <c r="F1066" s="46"/>
      <c r="G1066" s="164"/>
    </row>
    <row r="1067" spans="3:7" customFormat="1" x14ac:dyDescent="0.2">
      <c r="C1067" s="4" t="s">
        <v>1265</v>
      </c>
      <c r="F1067" s="46"/>
      <c r="G1067" s="164"/>
    </row>
    <row r="1068" spans="3:7" customFormat="1" x14ac:dyDescent="0.2">
      <c r="C1068" s="4" t="s">
        <v>2510</v>
      </c>
      <c r="F1068" s="46"/>
      <c r="G1068" s="164"/>
    </row>
    <row r="1069" spans="3:7" customFormat="1" x14ac:dyDescent="0.2">
      <c r="C1069" s="4" t="s">
        <v>2511</v>
      </c>
      <c r="F1069" s="46"/>
      <c r="G1069" s="164"/>
    </row>
    <row r="1070" spans="3:7" customFormat="1" x14ac:dyDescent="0.2">
      <c r="C1070" s="4" t="s">
        <v>1289</v>
      </c>
      <c r="F1070" s="46"/>
      <c r="G1070" s="164"/>
    </row>
    <row r="1071" spans="3:7" customFormat="1" x14ac:dyDescent="0.2">
      <c r="C1071" s="4" t="s">
        <v>2512</v>
      </c>
      <c r="F1071" s="46"/>
      <c r="G1071" s="164"/>
    </row>
    <row r="1072" spans="3:7" customFormat="1" x14ac:dyDescent="0.2">
      <c r="C1072" s="4" t="s">
        <v>2513</v>
      </c>
      <c r="F1072" s="46"/>
      <c r="G1072" s="164"/>
    </row>
    <row r="1073" spans="3:7" customFormat="1" x14ac:dyDescent="0.2">
      <c r="C1073" s="4" t="s">
        <v>1261</v>
      </c>
      <c r="F1073" s="46"/>
      <c r="G1073" s="164"/>
    </row>
    <row r="1074" spans="3:7" customFormat="1" x14ac:dyDescent="0.2">
      <c r="C1074" s="4" t="s">
        <v>1283</v>
      </c>
      <c r="F1074" s="46"/>
      <c r="G1074" s="164"/>
    </row>
    <row r="1075" spans="3:7" customFormat="1" x14ac:dyDescent="0.2">
      <c r="C1075" s="4" t="s">
        <v>2514</v>
      </c>
      <c r="F1075" s="46"/>
      <c r="G1075" s="164"/>
    </row>
    <row r="1076" spans="3:7" customFormat="1" x14ac:dyDescent="0.2">
      <c r="C1076" s="4" t="s">
        <v>2515</v>
      </c>
      <c r="F1076" s="46"/>
      <c r="G1076" s="164"/>
    </row>
    <row r="1077" spans="3:7" customFormat="1" x14ac:dyDescent="0.2">
      <c r="C1077" s="4" t="s">
        <v>2516</v>
      </c>
      <c r="F1077" s="46"/>
      <c r="G1077" s="164"/>
    </row>
    <row r="1078" spans="3:7" customFormat="1" x14ac:dyDescent="0.2">
      <c r="C1078" s="4" t="s">
        <v>1529</v>
      </c>
      <c r="F1078" s="46"/>
      <c r="G1078" s="164"/>
    </row>
    <row r="1079" spans="3:7" customFormat="1" x14ac:dyDescent="0.2">
      <c r="C1079" s="4" t="s">
        <v>2517</v>
      </c>
      <c r="F1079" s="46"/>
      <c r="G1079" s="164"/>
    </row>
    <row r="1080" spans="3:7" customFormat="1" x14ac:dyDescent="0.2">
      <c r="C1080" s="4" t="s">
        <v>2518</v>
      </c>
      <c r="F1080" s="46"/>
      <c r="G1080" s="164"/>
    </row>
    <row r="1081" spans="3:7" customFormat="1" x14ac:dyDescent="0.2">
      <c r="C1081" s="4" t="s">
        <v>2519</v>
      </c>
      <c r="F1081" s="46"/>
      <c r="G1081" s="164"/>
    </row>
    <row r="1082" spans="3:7" customFormat="1" x14ac:dyDescent="0.2">
      <c r="C1082" s="4" t="s">
        <v>2520</v>
      </c>
      <c r="F1082" s="46"/>
      <c r="G1082" s="164"/>
    </row>
    <row r="1083" spans="3:7" customFormat="1" x14ac:dyDescent="0.2">
      <c r="C1083" s="4" t="s">
        <v>2521</v>
      </c>
      <c r="F1083" s="46"/>
      <c r="G1083" s="164"/>
    </row>
    <row r="1084" spans="3:7" customFormat="1" x14ac:dyDescent="0.2">
      <c r="C1084" s="4" t="s">
        <v>2522</v>
      </c>
      <c r="F1084" s="46"/>
      <c r="G1084" s="164"/>
    </row>
    <row r="1085" spans="3:7" customFormat="1" x14ac:dyDescent="0.2">
      <c r="C1085" s="4" t="s">
        <v>2523</v>
      </c>
      <c r="F1085" s="46"/>
      <c r="G1085" s="164"/>
    </row>
    <row r="1086" spans="3:7" customFormat="1" x14ac:dyDescent="0.2">
      <c r="C1086" s="4" t="s">
        <v>2524</v>
      </c>
      <c r="F1086" s="46"/>
      <c r="G1086" s="164"/>
    </row>
    <row r="1087" spans="3:7" customFormat="1" x14ac:dyDescent="0.2">
      <c r="C1087" s="4" t="s">
        <v>2525</v>
      </c>
      <c r="F1087" s="46"/>
      <c r="G1087" s="164"/>
    </row>
    <row r="1088" spans="3:7" customFormat="1" x14ac:dyDescent="0.2">
      <c r="C1088" s="4" t="s">
        <v>2526</v>
      </c>
      <c r="F1088" s="46"/>
      <c r="G1088" s="164"/>
    </row>
    <row r="1089" spans="3:7" customFormat="1" x14ac:dyDescent="0.2">
      <c r="C1089" s="4" t="s">
        <v>2527</v>
      </c>
      <c r="F1089" s="46"/>
      <c r="G1089" s="164"/>
    </row>
    <row r="1090" spans="3:7" customFormat="1" x14ac:dyDescent="0.2">
      <c r="C1090" s="4" t="s">
        <v>2528</v>
      </c>
      <c r="F1090" s="46"/>
      <c r="G1090" s="164"/>
    </row>
    <row r="1091" spans="3:7" customFormat="1" x14ac:dyDescent="0.2">
      <c r="C1091" s="4" t="s">
        <v>2529</v>
      </c>
      <c r="F1091" s="46"/>
      <c r="G1091" s="164"/>
    </row>
    <row r="1092" spans="3:7" customFormat="1" x14ac:dyDescent="0.2">
      <c r="C1092" s="4" t="s">
        <v>2530</v>
      </c>
      <c r="F1092" s="46"/>
      <c r="G1092" s="164"/>
    </row>
    <row r="1093" spans="3:7" customFormat="1" x14ac:dyDescent="0.2">
      <c r="C1093" s="4" t="s">
        <v>2531</v>
      </c>
      <c r="F1093" s="46"/>
      <c r="G1093" s="164"/>
    </row>
    <row r="1094" spans="3:7" customFormat="1" x14ac:dyDescent="0.2">
      <c r="C1094" s="4" t="s">
        <v>2532</v>
      </c>
      <c r="F1094" s="46"/>
      <c r="G1094" s="164"/>
    </row>
    <row r="1095" spans="3:7" customFormat="1" x14ac:dyDescent="0.2">
      <c r="C1095" s="4" t="s">
        <v>2533</v>
      </c>
      <c r="F1095" s="46"/>
      <c r="G1095" s="164"/>
    </row>
    <row r="1096" spans="3:7" customFormat="1" x14ac:dyDescent="0.2">
      <c r="C1096" s="4" t="s">
        <v>590</v>
      </c>
      <c r="F1096" s="46"/>
      <c r="G1096" s="164"/>
    </row>
    <row r="1097" spans="3:7" customFormat="1" x14ac:dyDescent="0.2">
      <c r="C1097" s="4" t="s">
        <v>2534</v>
      </c>
      <c r="F1097" s="46"/>
      <c r="G1097" s="164"/>
    </row>
    <row r="1098" spans="3:7" customFormat="1" x14ac:dyDescent="0.2">
      <c r="C1098" s="4" t="s">
        <v>2535</v>
      </c>
      <c r="F1098" s="46"/>
      <c r="G1098" s="164"/>
    </row>
    <row r="1099" spans="3:7" customFormat="1" x14ac:dyDescent="0.2">
      <c r="C1099" s="4" t="s">
        <v>2536</v>
      </c>
      <c r="F1099" s="46"/>
      <c r="G1099" s="164"/>
    </row>
    <row r="1100" spans="3:7" customFormat="1" x14ac:dyDescent="0.2">
      <c r="C1100" s="4" t="s">
        <v>2537</v>
      </c>
      <c r="F1100" s="46"/>
      <c r="G1100" s="164"/>
    </row>
    <row r="1101" spans="3:7" customFormat="1" x14ac:dyDescent="0.2">
      <c r="C1101" s="4" t="s">
        <v>2538</v>
      </c>
      <c r="F1101" s="46"/>
      <c r="G1101" s="164"/>
    </row>
    <row r="1102" spans="3:7" customFormat="1" x14ac:dyDescent="0.2">
      <c r="C1102" s="4" t="s">
        <v>2539</v>
      </c>
      <c r="F1102" s="46"/>
      <c r="G1102" s="164"/>
    </row>
    <row r="1103" spans="3:7" customFormat="1" x14ac:dyDescent="0.2">
      <c r="C1103" s="4" t="s">
        <v>2540</v>
      </c>
      <c r="F1103" s="46"/>
      <c r="G1103" s="164"/>
    </row>
    <row r="1104" spans="3:7" customFormat="1" x14ac:dyDescent="0.2">
      <c r="C1104" s="4" t="s">
        <v>2541</v>
      </c>
      <c r="F1104" s="46"/>
      <c r="G1104" s="164"/>
    </row>
    <row r="1105" spans="3:7" customFormat="1" x14ac:dyDescent="0.2">
      <c r="C1105" s="4" t="s">
        <v>2542</v>
      </c>
      <c r="F1105" s="46"/>
      <c r="G1105" s="164"/>
    </row>
    <row r="1106" spans="3:7" customFormat="1" x14ac:dyDescent="0.2">
      <c r="C1106" s="4" t="s">
        <v>510</v>
      </c>
      <c r="F1106" s="46"/>
      <c r="G1106" s="164"/>
    </row>
    <row r="1107" spans="3:7" customFormat="1" x14ac:dyDescent="0.2">
      <c r="C1107" s="4" t="s">
        <v>2543</v>
      </c>
      <c r="F1107" s="46"/>
      <c r="G1107" s="164"/>
    </row>
    <row r="1108" spans="3:7" customFormat="1" x14ac:dyDescent="0.2">
      <c r="C1108" s="4" t="s">
        <v>1000</v>
      </c>
      <c r="F1108" s="46"/>
      <c r="G1108" s="164"/>
    </row>
    <row r="1109" spans="3:7" customFormat="1" x14ac:dyDescent="0.2">
      <c r="C1109" s="4" t="s">
        <v>1004</v>
      </c>
      <c r="F1109" s="46"/>
      <c r="G1109" s="164"/>
    </row>
    <row r="1110" spans="3:7" customFormat="1" x14ac:dyDescent="0.2">
      <c r="C1110" s="4" t="s">
        <v>998</v>
      </c>
      <c r="F1110" s="46"/>
      <c r="G1110" s="164"/>
    </row>
    <row r="1111" spans="3:7" customFormat="1" x14ac:dyDescent="0.2">
      <c r="C1111" s="4" t="s">
        <v>2544</v>
      </c>
      <c r="F1111" s="46"/>
      <c r="G1111" s="164"/>
    </row>
    <row r="1112" spans="3:7" customFormat="1" x14ac:dyDescent="0.2">
      <c r="C1112" s="4" t="s">
        <v>2545</v>
      </c>
      <c r="F1112" s="46"/>
      <c r="G1112" s="164"/>
    </row>
    <row r="1113" spans="3:7" customFormat="1" x14ac:dyDescent="0.2">
      <c r="C1113" s="4" t="s">
        <v>2546</v>
      </c>
      <c r="F1113" s="46"/>
      <c r="G1113" s="164"/>
    </row>
    <row r="1114" spans="3:7" customFormat="1" x14ac:dyDescent="0.2">
      <c r="C1114" s="4" t="s">
        <v>974</v>
      </c>
      <c r="F1114" s="46"/>
      <c r="G1114" s="164"/>
    </row>
    <row r="1115" spans="3:7" customFormat="1" x14ac:dyDescent="0.2">
      <c r="C1115" s="4" t="s">
        <v>2547</v>
      </c>
      <c r="F1115" s="46"/>
      <c r="G1115" s="164"/>
    </row>
    <row r="1116" spans="3:7" customFormat="1" x14ac:dyDescent="0.2">
      <c r="C1116" s="4" t="s">
        <v>1017</v>
      </c>
      <c r="F1116" s="46"/>
      <c r="G1116" s="164"/>
    </row>
    <row r="1117" spans="3:7" customFormat="1" x14ac:dyDescent="0.2">
      <c r="C1117" s="4" t="s">
        <v>2548</v>
      </c>
      <c r="F1117" s="46"/>
      <c r="G1117" s="164"/>
    </row>
    <row r="1118" spans="3:7" customFormat="1" x14ac:dyDescent="0.2">
      <c r="C1118" s="4" t="s">
        <v>2549</v>
      </c>
      <c r="F1118" s="46"/>
      <c r="G1118" s="164"/>
    </row>
    <row r="1119" spans="3:7" customFormat="1" x14ac:dyDescent="0.2">
      <c r="C1119" s="4" t="s">
        <v>1039</v>
      </c>
      <c r="F1119" s="46"/>
      <c r="G1119" s="164"/>
    </row>
    <row r="1120" spans="3:7" customFormat="1" x14ac:dyDescent="0.2">
      <c r="C1120" s="4" t="s">
        <v>2550</v>
      </c>
      <c r="F1120" s="46"/>
      <c r="G1120" s="164"/>
    </row>
    <row r="1121" spans="3:7" customFormat="1" x14ac:dyDescent="0.2">
      <c r="C1121" s="4" t="s">
        <v>2551</v>
      </c>
      <c r="F1121" s="46"/>
      <c r="G1121" s="164"/>
    </row>
    <row r="1122" spans="3:7" customFormat="1" x14ac:dyDescent="0.2">
      <c r="C1122" s="4" t="s">
        <v>1050</v>
      </c>
      <c r="F1122" s="46"/>
      <c r="G1122" s="164"/>
    </row>
    <row r="1123" spans="3:7" customFormat="1" x14ac:dyDescent="0.2">
      <c r="C1123" s="4" t="s">
        <v>2552</v>
      </c>
      <c r="F1123" s="46"/>
      <c r="G1123" s="164"/>
    </row>
    <row r="1124" spans="3:7" customFormat="1" x14ac:dyDescent="0.2">
      <c r="C1124" s="4" t="s">
        <v>2553</v>
      </c>
      <c r="F1124" s="46"/>
      <c r="G1124" s="164"/>
    </row>
    <row r="1125" spans="3:7" customFormat="1" x14ac:dyDescent="0.2">
      <c r="C1125" s="4" t="s">
        <v>2554</v>
      </c>
      <c r="F1125" s="46"/>
      <c r="G1125" s="164"/>
    </row>
    <row r="1126" spans="3:7" customFormat="1" x14ac:dyDescent="0.2">
      <c r="C1126" s="13" t="s">
        <v>2555</v>
      </c>
      <c r="F1126" s="46"/>
      <c r="G1126" s="164"/>
    </row>
    <row r="1127" spans="3:7" customFormat="1" x14ac:dyDescent="0.2">
      <c r="C1127" s="13" t="s">
        <v>2555</v>
      </c>
      <c r="F1127" s="46"/>
      <c r="G1127" s="164"/>
    </row>
    <row r="1128" spans="3:7" customFormat="1" x14ac:dyDescent="0.2">
      <c r="C1128" s="13" t="s">
        <v>2555</v>
      </c>
      <c r="F1128" s="46"/>
      <c r="G1128" s="164"/>
    </row>
    <row r="1129" spans="3:7" customFormat="1" x14ac:dyDescent="0.2">
      <c r="C1129" s="13" t="s">
        <v>2555</v>
      </c>
      <c r="F1129" s="46"/>
      <c r="G1129" s="164"/>
    </row>
    <row r="1130" spans="3:7" customFormat="1" x14ac:dyDescent="0.2">
      <c r="C1130" s="17" t="s">
        <v>2555</v>
      </c>
      <c r="F1130" s="46"/>
      <c r="G1130" s="164"/>
    </row>
    <row r="1131" spans="3:7" customFormat="1" x14ac:dyDescent="0.2">
      <c r="C1131" s="17" t="s">
        <v>2555</v>
      </c>
      <c r="F1131" s="46"/>
      <c r="G1131" s="164"/>
    </row>
    <row r="1132" spans="3:7" customFormat="1" ht="16.5" x14ac:dyDescent="0.2">
      <c r="C1132" s="133" t="s">
        <v>368</v>
      </c>
      <c r="F1132" s="46"/>
      <c r="G1132" s="164"/>
    </row>
    <row r="1133" spans="3:7" customFormat="1" x14ac:dyDescent="0.2">
      <c r="C1133" s="122"/>
      <c r="F1133" s="46"/>
      <c r="G1133" s="164"/>
    </row>
    <row r="1134" spans="3:7" customFormat="1" x14ac:dyDescent="0.2">
      <c r="C1134" s="5"/>
      <c r="F1134" s="46"/>
      <c r="G1134" s="164"/>
    </row>
    <row r="1135" spans="3:7" customFormat="1" x14ac:dyDescent="0.2">
      <c r="C1135" s="122"/>
      <c r="F1135" s="46"/>
      <c r="G1135" s="164"/>
    </row>
    <row r="1136" spans="3:7" customFormat="1" x14ac:dyDescent="0.3">
      <c r="C1136" s="118"/>
      <c r="F1136" s="46"/>
      <c r="G1136" s="164"/>
    </row>
    <row r="1137" spans="3:7" customFormat="1" x14ac:dyDescent="0.2">
      <c r="C1137" s="3"/>
      <c r="F1137" s="46"/>
      <c r="G1137" s="164"/>
    </row>
    <row r="1138" spans="3:7" customFormat="1" x14ac:dyDescent="0.2">
      <c r="C1138" s="4"/>
      <c r="F1138" s="46"/>
      <c r="G1138" s="164"/>
    </row>
    <row r="1139" spans="3:7" customFormat="1" x14ac:dyDescent="0.2">
      <c r="C1139" s="4"/>
      <c r="F1139" s="46"/>
      <c r="G1139" s="164"/>
    </row>
    <row r="1140" spans="3:7" customFormat="1" x14ac:dyDescent="0.2">
      <c r="C1140" s="4"/>
      <c r="F1140" s="46"/>
      <c r="G1140" s="164"/>
    </row>
    <row r="1141" spans="3:7" customFormat="1" x14ac:dyDescent="0.2">
      <c r="C1141" s="4"/>
      <c r="F1141" s="46"/>
      <c r="G1141" s="164"/>
    </row>
    <row r="1142" spans="3:7" customFormat="1" x14ac:dyDescent="0.2">
      <c r="C1142" s="4"/>
      <c r="F1142" s="46"/>
      <c r="G1142" s="164"/>
    </row>
    <row r="1143" spans="3:7" customFormat="1" x14ac:dyDescent="0.2">
      <c r="C1143" s="4"/>
      <c r="F1143" s="46"/>
      <c r="G1143" s="164"/>
    </row>
    <row r="1144" spans="3:7" customFormat="1" x14ac:dyDescent="0.2">
      <c r="C1144" s="4"/>
      <c r="F1144" s="46"/>
      <c r="G1144" s="164"/>
    </row>
    <row r="1145" spans="3:7" customFormat="1" x14ac:dyDescent="0.2">
      <c r="C1145" s="4"/>
      <c r="F1145" s="46"/>
      <c r="G1145" s="164"/>
    </row>
    <row r="1146" spans="3:7" customFormat="1" x14ac:dyDescent="0.2">
      <c r="C1146" s="4"/>
      <c r="F1146" s="46"/>
      <c r="G1146" s="164"/>
    </row>
    <row r="1147" spans="3:7" customFormat="1" x14ac:dyDescent="0.2">
      <c r="C1147" s="4"/>
      <c r="F1147" s="46"/>
      <c r="G1147" s="164"/>
    </row>
    <row r="1148" spans="3:7" customFormat="1" x14ac:dyDescent="0.2">
      <c r="C1148" s="4"/>
      <c r="F1148" s="46"/>
      <c r="G1148" s="164"/>
    </row>
    <row r="1149" spans="3:7" customFormat="1" x14ac:dyDescent="0.2">
      <c r="C1149" s="4"/>
      <c r="F1149" s="46"/>
      <c r="G1149" s="164"/>
    </row>
    <row r="1150" spans="3:7" customFormat="1" x14ac:dyDescent="0.2">
      <c r="C1150" s="4"/>
      <c r="F1150" s="46"/>
      <c r="G1150" s="164"/>
    </row>
    <row r="1151" spans="3:7" customFormat="1" x14ac:dyDescent="0.2">
      <c r="C1151" s="4"/>
      <c r="F1151" s="46"/>
      <c r="G1151" s="164"/>
    </row>
    <row r="1152" spans="3:7" customFormat="1" x14ac:dyDescent="0.2">
      <c r="C1152" s="4"/>
      <c r="F1152" s="46"/>
      <c r="G1152" s="164"/>
    </row>
    <row r="1153" spans="3:7" customFormat="1" x14ac:dyDescent="0.2">
      <c r="C1153" s="4"/>
      <c r="F1153" s="46"/>
      <c r="G1153" s="164"/>
    </row>
    <row r="1154" spans="3:7" customFormat="1" x14ac:dyDescent="0.2">
      <c r="C1154" s="4"/>
      <c r="F1154" s="46"/>
      <c r="G1154" s="164"/>
    </row>
    <row r="1155" spans="3:7" customFormat="1" x14ac:dyDescent="0.2">
      <c r="C1155" s="4"/>
      <c r="F1155" s="46"/>
      <c r="G1155" s="164"/>
    </row>
    <row r="1156" spans="3:7" customFormat="1" x14ac:dyDescent="0.2">
      <c r="C1156" s="4"/>
      <c r="F1156" s="46"/>
      <c r="G1156" s="164"/>
    </row>
    <row r="1157" spans="3:7" customFormat="1" x14ac:dyDescent="0.2">
      <c r="C1157" s="4"/>
      <c r="F1157" s="46"/>
      <c r="G1157" s="164"/>
    </row>
    <row r="1158" spans="3:7" customFormat="1" x14ac:dyDescent="0.2">
      <c r="C1158" s="4"/>
      <c r="F1158" s="46"/>
      <c r="G1158" s="164"/>
    </row>
    <row r="1159" spans="3:7" customFormat="1" x14ac:dyDescent="0.2">
      <c r="C1159" s="4"/>
      <c r="F1159" s="46"/>
      <c r="G1159" s="164"/>
    </row>
    <row r="1160" spans="3:7" customFormat="1" x14ac:dyDescent="0.2">
      <c r="C1160" s="4"/>
      <c r="F1160" s="46"/>
      <c r="G1160" s="164"/>
    </row>
    <row r="1161" spans="3:7" customFormat="1" x14ac:dyDescent="0.2">
      <c r="C1161" s="4"/>
      <c r="F1161" s="46"/>
      <c r="G1161" s="164"/>
    </row>
    <row r="1162" spans="3:7" customFormat="1" x14ac:dyDescent="0.2">
      <c r="C1162" s="4"/>
      <c r="F1162" s="46"/>
      <c r="G1162" s="164"/>
    </row>
    <row r="1163" spans="3:7" customFormat="1" x14ac:dyDescent="0.2">
      <c r="C1163" s="4"/>
      <c r="F1163" s="46"/>
      <c r="G1163" s="164"/>
    </row>
    <row r="1164" spans="3:7" customFormat="1" x14ac:dyDescent="0.2">
      <c r="C1164" s="4"/>
      <c r="F1164" s="46"/>
      <c r="G1164" s="164"/>
    </row>
    <row r="1165" spans="3:7" customFormat="1" x14ac:dyDescent="0.2">
      <c r="C1165" s="4"/>
      <c r="F1165" s="46"/>
      <c r="G1165" s="164"/>
    </row>
    <row r="1166" spans="3:7" customFormat="1" x14ac:dyDescent="0.2">
      <c r="C1166" s="4"/>
      <c r="F1166" s="46"/>
      <c r="G1166" s="164"/>
    </row>
    <row r="1167" spans="3:7" customFormat="1" x14ac:dyDescent="0.2">
      <c r="C1167" s="4"/>
      <c r="F1167" s="46"/>
      <c r="G1167" s="164"/>
    </row>
    <row r="1168" spans="3:7" customFormat="1" x14ac:dyDescent="0.2">
      <c r="C1168" s="4"/>
      <c r="F1168" s="46"/>
      <c r="G1168" s="164"/>
    </row>
    <row r="1169" spans="3:7" customFormat="1" x14ac:dyDescent="0.2">
      <c r="C1169" s="4"/>
      <c r="F1169" s="46"/>
      <c r="G1169" s="164"/>
    </row>
    <row r="1170" spans="3:7" customFormat="1" x14ac:dyDescent="0.2">
      <c r="C1170" s="4"/>
      <c r="F1170" s="46"/>
      <c r="G1170" s="164"/>
    </row>
    <row r="1171" spans="3:7" customFormat="1" x14ac:dyDescent="0.2">
      <c r="C1171" s="4"/>
      <c r="F1171" s="46"/>
      <c r="G1171" s="164"/>
    </row>
    <row r="1172" spans="3:7" customFormat="1" x14ac:dyDescent="0.2">
      <c r="C1172" s="4"/>
      <c r="F1172" s="46"/>
      <c r="G1172" s="164"/>
    </row>
    <row r="1173" spans="3:7" customFormat="1" x14ac:dyDescent="0.2">
      <c r="C1173" s="4"/>
      <c r="F1173" s="46"/>
      <c r="G1173" s="164"/>
    </row>
    <row r="1174" spans="3:7" customFormat="1" x14ac:dyDescent="0.2">
      <c r="C1174" s="4"/>
      <c r="F1174" s="46"/>
      <c r="G1174" s="164"/>
    </row>
    <row r="1175" spans="3:7" customFormat="1" x14ac:dyDescent="0.2">
      <c r="C1175" s="4"/>
      <c r="F1175" s="46"/>
      <c r="G1175" s="164"/>
    </row>
    <row r="1176" spans="3:7" customFormat="1" x14ac:dyDescent="0.2">
      <c r="C1176" s="4"/>
      <c r="F1176" s="46"/>
      <c r="G1176" s="164"/>
    </row>
    <row r="1177" spans="3:7" customFormat="1" x14ac:dyDescent="0.2">
      <c r="C1177" s="4"/>
      <c r="F1177" s="46"/>
      <c r="G1177" s="164"/>
    </row>
    <row r="1178" spans="3:7" customFormat="1" x14ac:dyDescent="0.2">
      <c r="C1178" s="4"/>
      <c r="F1178" s="46"/>
      <c r="G1178" s="164"/>
    </row>
    <row r="1179" spans="3:7" customFormat="1" x14ac:dyDescent="0.2">
      <c r="C1179" s="4"/>
      <c r="F1179" s="46"/>
      <c r="G1179" s="164"/>
    </row>
    <row r="1180" spans="3:7" customFormat="1" x14ac:dyDescent="0.2">
      <c r="C1180" s="4"/>
      <c r="F1180" s="46"/>
      <c r="G1180" s="164"/>
    </row>
    <row r="1181" spans="3:7" customFormat="1" x14ac:dyDescent="0.2">
      <c r="C1181" s="4"/>
      <c r="F1181" s="46"/>
      <c r="G1181" s="164"/>
    </row>
    <row r="1182" spans="3:7" customFormat="1" x14ac:dyDescent="0.2">
      <c r="C1182" s="4"/>
      <c r="F1182" s="46"/>
      <c r="G1182" s="164"/>
    </row>
    <row r="1183" spans="3:7" customFormat="1" x14ac:dyDescent="0.2">
      <c r="C1183" s="4"/>
      <c r="F1183" s="46"/>
      <c r="G1183" s="164"/>
    </row>
    <row r="1184" spans="3:7" customFormat="1" x14ac:dyDescent="0.2">
      <c r="C1184" s="4"/>
      <c r="F1184" s="46"/>
      <c r="G1184" s="164"/>
    </row>
    <row r="1185" spans="3:7" customFormat="1" x14ac:dyDescent="0.2">
      <c r="C1185" s="4"/>
      <c r="F1185" s="46"/>
      <c r="G1185" s="164"/>
    </row>
    <row r="1186" spans="3:7" customFormat="1" x14ac:dyDescent="0.2">
      <c r="C1186" s="4"/>
      <c r="F1186" s="46"/>
      <c r="G1186" s="164"/>
    </row>
    <row r="1187" spans="3:7" customFormat="1" x14ac:dyDescent="0.2">
      <c r="C1187" s="4"/>
      <c r="F1187" s="46"/>
      <c r="G1187" s="164"/>
    </row>
    <row r="1188" spans="3:7" customFormat="1" x14ac:dyDescent="0.2">
      <c r="C1188" s="4"/>
      <c r="F1188" s="46"/>
      <c r="G1188" s="164"/>
    </row>
    <row r="1189" spans="3:7" customFormat="1" x14ac:dyDescent="0.2">
      <c r="C1189" s="4"/>
      <c r="F1189" s="46"/>
      <c r="G1189" s="164"/>
    </row>
    <row r="1190" spans="3:7" customFormat="1" x14ac:dyDescent="0.2">
      <c r="C1190" s="4"/>
      <c r="F1190" s="46"/>
      <c r="G1190" s="164"/>
    </row>
    <row r="1191" spans="3:7" customFormat="1" x14ac:dyDescent="0.2">
      <c r="C1191" s="4"/>
      <c r="F1191" s="46"/>
      <c r="G1191" s="164"/>
    </row>
    <row r="1192" spans="3:7" customFormat="1" x14ac:dyDescent="0.2">
      <c r="C1192" s="4"/>
      <c r="F1192" s="46"/>
      <c r="G1192" s="164"/>
    </row>
    <row r="1193" spans="3:7" customFormat="1" x14ac:dyDescent="0.2">
      <c r="C1193" s="4"/>
      <c r="F1193" s="46"/>
      <c r="G1193" s="164"/>
    </row>
    <row r="1194" spans="3:7" customFormat="1" x14ac:dyDescent="0.2">
      <c r="C1194" s="4"/>
      <c r="F1194" s="46"/>
      <c r="G1194" s="164"/>
    </row>
    <row r="1195" spans="3:7" customFormat="1" x14ac:dyDescent="0.2">
      <c r="C1195" s="4"/>
      <c r="F1195" s="46"/>
      <c r="G1195" s="164"/>
    </row>
    <row r="1196" spans="3:7" customFormat="1" x14ac:dyDescent="0.2">
      <c r="C1196" s="4"/>
      <c r="F1196" s="46"/>
      <c r="G1196" s="164"/>
    </row>
    <row r="1197" spans="3:7" customFormat="1" x14ac:dyDescent="0.2">
      <c r="C1197" s="4"/>
      <c r="F1197" s="46"/>
      <c r="G1197" s="164"/>
    </row>
    <row r="1198" spans="3:7" customFormat="1" x14ac:dyDescent="0.2">
      <c r="C1198" s="4"/>
      <c r="F1198" s="46"/>
      <c r="G1198" s="164"/>
    </row>
    <row r="1199" spans="3:7" customFormat="1" x14ac:dyDescent="0.2">
      <c r="C1199" s="4"/>
      <c r="F1199" s="46"/>
      <c r="G1199" s="164"/>
    </row>
    <row r="1200" spans="3:7" customFormat="1" x14ac:dyDescent="0.2">
      <c r="C1200" s="4"/>
      <c r="F1200" s="46"/>
      <c r="G1200" s="164"/>
    </row>
    <row r="1201" spans="3:7" customFormat="1" x14ac:dyDescent="0.2">
      <c r="C1201" s="4"/>
      <c r="F1201" s="46"/>
      <c r="G1201" s="164"/>
    </row>
    <row r="1202" spans="3:7" customFormat="1" x14ac:dyDescent="0.2">
      <c r="C1202" s="4"/>
      <c r="F1202" s="46"/>
      <c r="G1202" s="164"/>
    </row>
    <row r="1203" spans="3:7" customFormat="1" x14ac:dyDescent="0.2">
      <c r="C1203" s="4"/>
      <c r="F1203" s="46"/>
      <c r="G1203" s="164"/>
    </row>
    <row r="1204" spans="3:7" customFormat="1" x14ac:dyDescent="0.2">
      <c r="C1204" s="4"/>
      <c r="F1204" s="46"/>
      <c r="G1204" s="164"/>
    </row>
    <row r="1205" spans="3:7" customFormat="1" x14ac:dyDescent="0.2">
      <c r="C1205" s="4"/>
      <c r="F1205" s="46"/>
      <c r="G1205" s="164"/>
    </row>
    <row r="1206" spans="3:7" customFormat="1" x14ac:dyDescent="0.2">
      <c r="C1206" s="4"/>
      <c r="F1206" s="46"/>
      <c r="G1206" s="164"/>
    </row>
    <row r="1207" spans="3:7" customFormat="1" x14ac:dyDescent="0.2">
      <c r="C1207" s="4"/>
      <c r="F1207" s="46"/>
      <c r="G1207" s="164"/>
    </row>
    <row r="1208" spans="3:7" customFormat="1" x14ac:dyDescent="0.2">
      <c r="C1208" s="4"/>
      <c r="F1208" s="46"/>
      <c r="G1208" s="164"/>
    </row>
    <row r="1209" spans="3:7" customFormat="1" x14ac:dyDescent="0.2">
      <c r="C1209" s="4"/>
      <c r="F1209" s="46"/>
      <c r="G1209" s="164"/>
    </row>
    <row r="1210" spans="3:7" customFormat="1" x14ac:dyDescent="0.2">
      <c r="C1210" s="4"/>
      <c r="F1210" s="46"/>
      <c r="G1210" s="164"/>
    </row>
    <row r="1211" spans="3:7" customFormat="1" x14ac:dyDescent="0.2">
      <c r="C1211" s="4"/>
      <c r="F1211" s="46"/>
      <c r="G1211" s="164"/>
    </row>
    <row r="1212" spans="3:7" customFormat="1" x14ac:dyDescent="0.2">
      <c r="C1212" s="4"/>
      <c r="F1212" s="46"/>
      <c r="G1212" s="164"/>
    </row>
    <row r="1213" spans="3:7" customFormat="1" x14ac:dyDescent="0.2">
      <c r="C1213" s="4"/>
      <c r="F1213" s="46"/>
      <c r="G1213" s="164"/>
    </row>
    <row r="1214" spans="3:7" customFormat="1" x14ac:dyDescent="0.2">
      <c r="C1214" s="4"/>
      <c r="F1214" s="46"/>
      <c r="G1214" s="164"/>
    </row>
    <row r="1215" spans="3:7" customFormat="1" x14ac:dyDescent="0.2">
      <c r="C1215" s="4"/>
      <c r="F1215" s="46"/>
      <c r="G1215" s="164"/>
    </row>
    <row r="1216" spans="3:7" customFormat="1" x14ac:dyDescent="0.2">
      <c r="C1216" s="4"/>
      <c r="F1216" s="46"/>
      <c r="G1216" s="164"/>
    </row>
    <row r="1217" spans="3:7" customFormat="1" x14ac:dyDescent="0.2">
      <c r="C1217" s="4"/>
      <c r="F1217" s="46"/>
      <c r="G1217" s="164"/>
    </row>
    <row r="1218" spans="3:7" customFormat="1" x14ac:dyDescent="0.2">
      <c r="C1218" s="4"/>
      <c r="F1218" s="46"/>
      <c r="G1218" s="164"/>
    </row>
    <row r="1219" spans="3:7" customFormat="1" x14ac:dyDescent="0.2">
      <c r="C1219" s="4"/>
      <c r="F1219" s="46"/>
      <c r="G1219" s="164"/>
    </row>
    <row r="1220" spans="3:7" customFormat="1" x14ac:dyDescent="0.2">
      <c r="C1220" s="4"/>
      <c r="F1220" s="46"/>
      <c r="G1220" s="164"/>
    </row>
    <row r="1221" spans="3:7" customFormat="1" x14ac:dyDescent="0.2">
      <c r="C1221" s="4"/>
      <c r="F1221" s="46"/>
      <c r="G1221" s="164"/>
    </row>
    <row r="1222" spans="3:7" customFormat="1" x14ac:dyDescent="0.2">
      <c r="C1222" s="4"/>
      <c r="F1222" s="46"/>
      <c r="G1222" s="164"/>
    </row>
    <row r="1223" spans="3:7" customFormat="1" x14ac:dyDescent="0.2">
      <c r="C1223" s="4"/>
      <c r="F1223" s="46"/>
      <c r="G1223" s="164"/>
    </row>
    <row r="1224" spans="3:7" customFormat="1" x14ac:dyDescent="0.2">
      <c r="C1224" s="4"/>
      <c r="F1224" s="46"/>
      <c r="G1224" s="164"/>
    </row>
    <row r="1225" spans="3:7" customFormat="1" x14ac:dyDescent="0.2">
      <c r="C1225" s="4"/>
      <c r="F1225" s="46"/>
      <c r="G1225" s="164"/>
    </row>
    <row r="1226" spans="3:7" customFormat="1" x14ac:dyDescent="0.2">
      <c r="C1226" s="4"/>
      <c r="F1226" s="46"/>
      <c r="G1226" s="164"/>
    </row>
    <row r="1227" spans="3:7" customFormat="1" x14ac:dyDescent="0.2">
      <c r="C1227" s="4"/>
      <c r="F1227" s="46"/>
      <c r="G1227" s="164"/>
    </row>
    <row r="1228" spans="3:7" customFormat="1" x14ac:dyDescent="0.2">
      <c r="C1228" s="4"/>
      <c r="F1228" s="46"/>
      <c r="G1228" s="164"/>
    </row>
    <row r="1229" spans="3:7" customFormat="1" x14ac:dyDescent="0.2">
      <c r="C1229" s="4"/>
      <c r="F1229" s="46"/>
      <c r="G1229" s="164"/>
    </row>
    <row r="1230" spans="3:7" customFormat="1" x14ac:dyDescent="0.2">
      <c r="C1230" s="4"/>
      <c r="F1230" s="46"/>
      <c r="G1230" s="164"/>
    </row>
    <row r="1231" spans="3:7" customFormat="1" x14ac:dyDescent="0.2">
      <c r="C1231" s="4"/>
      <c r="F1231" s="46"/>
      <c r="G1231" s="164"/>
    </row>
    <row r="1232" spans="3:7" customFormat="1" x14ac:dyDescent="0.2">
      <c r="C1232" s="4"/>
      <c r="F1232" s="46"/>
      <c r="G1232" s="164"/>
    </row>
    <row r="1233" spans="3:7" customFormat="1" x14ac:dyDescent="0.2">
      <c r="C1233" s="4"/>
      <c r="F1233" s="46"/>
      <c r="G1233" s="164"/>
    </row>
    <row r="1234" spans="3:7" customFormat="1" x14ac:dyDescent="0.2">
      <c r="C1234" s="4"/>
      <c r="F1234" s="46"/>
      <c r="G1234" s="164"/>
    </row>
    <row r="1235" spans="3:7" customFormat="1" x14ac:dyDescent="0.2">
      <c r="C1235" s="4"/>
      <c r="F1235" s="46"/>
      <c r="G1235" s="164"/>
    </row>
    <row r="1236" spans="3:7" customFormat="1" x14ac:dyDescent="0.2">
      <c r="C1236" s="4"/>
      <c r="F1236" s="46"/>
      <c r="G1236" s="164"/>
    </row>
    <row r="1237" spans="3:7" customFormat="1" x14ac:dyDescent="0.2">
      <c r="C1237" s="4"/>
      <c r="F1237" s="46"/>
      <c r="G1237" s="164"/>
    </row>
    <row r="1238" spans="3:7" customFormat="1" x14ac:dyDescent="0.2">
      <c r="C1238" s="4"/>
      <c r="F1238" s="46"/>
      <c r="G1238" s="164"/>
    </row>
    <row r="1239" spans="3:7" customFormat="1" x14ac:dyDescent="0.2">
      <c r="C1239" s="4"/>
      <c r="F1239" s="46"/>
      <c r="G1239" s="164"/>
    </row>
    <row r="1240" spans="3:7" customFormat="1" x14ac:dyDescent="0.2">
      <c r="C1240" s="4"/>
      <c r="F1240" s="46"/>
      <c r="G1240" s="164"/>
    </row>
    <row r="1241" spans="3:7" customFormat="1" x14ac:dyDescent="0.2">
      <c r="C1241" s="4"/>
      <c r="F1241" s="46"/>
      <c r="G1241" s="164"/>
    </row>
    <row r="1242" spans="3:7" customFormat="1" x14ac:dyDescent="0.2">
      <c r="C1242" s="4"/>
      <c r="F1242" s="46"/>
      <c r="G1242" s="164"/>
    </row>
    <row r="1243" spans="3:7" customFormat="1" x14ac:dyDescent="0.2">
      <c r="C1243" s="4"/>
      <c r="F1243" s="46"/>
      <c r="G1243" s="164"/>
    </row>
    <row r="1244" spans="3:7" customFormat="1" x14ac:dyDescent="0.2">
      <c r="C1244" s="4"/>
      <c r="F1244" s="46"/>
      <c r="G1244" s="164"/>
    </row>
    <row r="1245" spans="3:7" customFormat="1" x14ac:dyDescent="0.2">
      <c r="C1245" s="4"/>
      <c r="F1245" s="46"/>
      <c r="G1245" s="164"/>
    </row>
    <row r="1246" spans="3:7" customFormat="1" x14ac:dyDescent="0.2">
      <c r="C1246" s="4"/>
      <c r="F1246" s="46"/>
      <c r="G1246" s="164"/>
    </row>
    <row r="1247" spans="3:7" customFormat="1" x14ac:dyDescent="0.2">
      <c r="C1247" s="4"/>
      <c r="F1247" s="46"/>
      <c r="G1247" s="164"/>
    </row>
    <row r="1248" spans="3:7" customFormat="1" x14ac:dyDescent="0.2">
      <c r="C1248" s="4"/>
      <c r="F1248" s="46"/>
      <c r="G1248" s="164"/>
    </row>
    <row r="1249" spans="3:7" customFormat="1" x14ac:dyDescent="0.2">
      <c r="C1249" s="4"/>
      <c r="F1249" s="46"/>
      <c r="G1249" s="164"/>
    </row>
    <row r="1250" spans="3:7" customFormat="1" x14ac:dyDescent="0.2">
      <c r="C1250" s="4"/>
      <c r="F1250" s="46"/>
      <c r="G1250" s="164"/>
    </row>
    <row r="1251" spans="3:7" customFormat="1" x14ac:dyDescent="0.2">
      <c r="C1251" s="4"/>
      <c r="F1251" s="46"/>
      <c r="G1251" s="164"/>
    </row>
    <row r="1252" spans="3:7" customFormat="1" x14ac:dyDescent="0.2">
      <c r="C1252" s="4"/>
      <c r="F1252" s="46"/>
      <c r="G1252" s="164"/>
    </row>
    <row r="1253" spans="3:7" customFormat="1" x14ac:dyDescent="0.2">
      <c r="C1253" s="4"/>
      <c r="F1253" s="46"/>
      <c r="G1253" s="164"/>
    </row>
    <row r="1254" spans="3:7" customFormat="1" x14ac:dyDescent="0.2">
      <c r="C1254" s="4"/>
      <c r="F1254" s="46"/>
      <c r="G1254" s="164"/>
    </row>
    <row r="1255" spans="3:7" customFormat="1" x14ac:dyDescent="0.2">
      <c r="C1255" s="4"/>
      <c r="F1255" s="46"/>
      <c r="G1255" s="164"/>
    </row>
    <row r="1256" spans="3:7" customFormat="1" x14ac:dyDescent="0.2">
      <c r="C1256" s="4"/>
      <c r="F1256" s="46"/>
      <c r="G1256" s="164"/>
    </row>
    <row r="1257" spans="3:7" customFormat="1" x14ac:dyDescent="0.2">
      <c r="C1257" s="4"/>
      <c r="F1257" s="46"/>
      <c r="G1257" s="164"/>
    </row>
    <row r="1258" spans="3:7" customFormat="1" x14ac:dyDescent="0.2">
      <c r="C1258" s="4"/>
      <c r="F1258" s="46"/>
      <c r="G1258" s="164"/>
    </row>
    <row r="1259" spans="3:7" customFormat="1" x14ac:dyDescent="0.2">
      <c r="C1259" s="4"/>
      <c r="F1259" s="46"/>
      <c r="G1259" s="164"/>
    </row>
    <row r="1260" spans="3:7" customFormat="1" x14ac:dyDescent="0.2">
      <c r="C1260" s="4"/>
      <c r="F1260" s="46"/>
      <c r="G1260" s="164"/>
    </row>
    <row r="1261" spans="3:7" customFormat="1" x14ac:dyDescent="0.2">
      <c r="C1261" s="4"/>
      <c r="F1261" s="46"/>
      <c r="G1261" s="164"/>
    </row>
    <row r="1262" spans="3:7" customFormat="1" x14ac:dyDescent="0.2">
      <c r="C1262" s="4"/>
      <c r="F1262" s="46"/>
      <c r="G1262" s="164"/>
    </row>
    <row r="1263" spans="3:7" customFormat="1" x14ac:dyDescent="0.2">
      <c r="C1263" s="4"/>
      <c r="F1263" s="46"/>
      <c r="G1263" s="164"/>
    </row>
    <row r="1264" spans="3:7" customFormat="1" x14ac:dyDescent="0.2">
      <c r="C1264" s="4"/>
      <c r="F1264" s="46"/>
      <c r="G1264" s="164"/>
    </row>
    <row r="1265" spans="3:7" customFormat="1" x14ac:dyDescent="0.2">
      <c r="C1265" s="4"/>
      <c r="F1265" s="46"/>
      <c r="G1265" s="164"/>
    </row>
    <row r="1266" spans="3:7" customFormat="1" x14ac:dyDescent="0.2">
      <c r="C1266" s="4"/>
      <c r="F1266" s="46"/>
      <c r="G1266" s="164"/>
    </row>
    <row r="1267" spans="3:7" customFormat="1" x14ac:dyDescent="0.2">
      <c r="C1267" s="4"/>
      <c r="F1267" s="46"/>
      <c r="G1267" s="164"/>
    </row>
    <row r="1268" spans="3:7" customFormat="1" x14ac:dyDescent="0.2">
      <c r="C1268" s="4"/>
      <c r="F1268" s="46"/>
      <c r="G1268" s="164"/>
    </row>
    <row r="1269" spans="3:7" customFormat="1" x14ac:dyDescent="0.2">
      <c r="C1269" s="4"/>
      <c r="F1269" s="46"/>
      <c r="G1269" s="164"/>
    </row>
    <row r="1270" spans="3:7" customFormat="1" x14ac:dyDescent="0.2">
      <c r="C1270" s="4"/>
      <c r="F1270" s="46"/>
      <c r="G1270" s="164"/>
    </row>
    <row r="1271" spans="3:7" customFormat="1" x14ac:dyDescent="0.2">
      <c r="C1271" s="4"/>
      <c r="F1271" s="46"/>
      <c r="G1271" s="164"/>
    </row>
    <row r="1272" spans="3:7" customFormat="1" x14ac:dyDescent="0.2">
      <c r="C1272" s="4"/>
      <c r="F1272" s="46"/>
      <c r="G1272" s="164"/>
    </row>
    <row r="1273" spans="3:7" customFormat="1" x14ac:dyDescent="0.2">
      <c r="C1273" s="4"/>
      <c r="F1273" s="46"/>
      <c r="G1273" s="164"/>
    </row>
    <row r="1274" spans="3:7" customFormat="1" x14ac:dyDescent="0.2">
      <c r="C1274" s="4"/>
      <c r="F1274" s="46"/>
      <c r="G1274" s="164"/>
    </row>
    <row r="1275" spans="3:7" customFormat="1" x14ac:dyDescent="0.2">
      <c r="C1275" s="4"/>
      <c r="F1275" s="46"/>
      <c r="G1275" s="164"/>
    </row>
    <row r="1276" spans="3:7" customFormat="1" x14ac:dyDescent="0.2">
      <c r="C1276" s="4"/>
      <c r="F1276" s="46"/>
      <c r="G1276" s="164"/>
    </row>
    <row r="1277" spans="3:7" customFormat="1" x14ac:dyDescent="0.2">
      <c r="C1277" s="4"/>
      <c r="F1277" s="46"/>
      <c r="G1277" s="164"/>
    </row>
    <row r="1278" spans="3:7" customFormat="1" x14ac:dyDescent="0.2">
      <c r="C1278" s="4"/>
      <c r="F1278" s="46"/>
      <c r="G1278" s="164"/>
    </row>
    <row r="1279" spans="3:7" customFormat="1" x14ac:dyDescent="0.2">
      <c r="C1279" s="4"/>
      <c r="F1279" s="46"/>
      <c r="G1279" s="164"/>
    </row>
    <row r="1280" spans="3:7" customFormat="1" x14ac:dyDescent="0.2">
      <c r="C1280" s="4"/>
      <c r="F1280" s="46"/>
      <c r="G1280" s="164"/>
    </row>
    <row r="1281" spans="3:7" customFormat="1" x14ac:dyDescent="0.2">
      <c r="C1281" s="4"/>
      <c r="F1281" s="46"/>
      <c r="G1281" s="164"/>
    </row>
    <row r="1282" spans="3:7" customFormat="1" x14ac:dyDescent="0.2">
      <c r="C1282" s="4"/>
      <c r="F1282" s="46"/>
      <c r="G1282" s="164"/>
    </row>
    <row r="1283" spans="3:7" customFormat="1" x14ac:dyDescent="0.2">
      <c r="C1283" s="4"/>
      <c r="F1283" s="46"/>
      <c r="G1283" s="164"/>
    </row>
    <row r="1284" spans="3:7" customFormat="1" x14ac:dyDescent="0.2">
      <c r="C1284" s="4"/>
      <c r="F1284" s="46"/>
      <c r="G1284" s="164"/>
    </row>
    <row r="1285" spans="3:7" customFormat="1" x14ac:dyDescent="0.2">
      <c r="C1285" s="4"/>
      <c r="F1285" s="46"/>
      <c r="G1285" s="164"/>
    </row>
    <row r="1286" spans="3:7" customFormat="1" x14ac:dyDescent="0.2">
      <c r="C1286" s="4"/>
      <c r="F1286" s="46"/>
      <c r="G1286" s="164"/>
    </row>
    <row r="1287" spans="3:7" customFormat="1" x14ac:dyDescent="0.2">
      <c r="C1287" s="4"/>
      <c r="F1287" s="46"/>
      <c r="G1287" s="164"/>
    </row>
    <row r="1288" spans="3:7" customFormat="1" x14ac:dyDescent="0.2">
      <c r="C1288" s="4"/>
      <c r="F1288" s="46"/>
      <c r="G1288" s="164"/>
    </row>
    <row r="1289" spans="3:7" customFormat="1" x14ac:dyDescent="0.2">
      <c r="C1289" s="4"/>
      <c r="F1289" s="46"/>
      <c r="G1289" s="164"/>
    </row>
    <row r="1290" spans="3:7" customFormat="1" x14ac:dyDescent="0.2">
      <c r="C1290" s="4"/>
      <c r="F1290" s="46"/>
      <c r="G1290" s="164"/>
    </row>
    <row r="1291" spans="3:7" customFormat="1" x14ac:dyDescent="0.2">
      <c r="C1291" s="4"/>
      <c r="F1291" s="46"/>
      <c r="G1291" s="164"/>
    </row>
    <row r="1292" spans="3:7" customFormat="1" x14ac:dyDescent="0.2">
      <c r="C1292" s="4"/>
      <c r="F1292" s="46"/>
      <c r="G1292" s="164"/>
    </row>
    <row r="1293" spans="3:7" customFormat="1" x14ac:dyDescent="0.2">
      <c r="C1293" s="4"/>
      <c r="F1293" s="46"/>
      <c r="G1293" s="164"/>
    </row>
    <row r="1294" spans="3:7" customFormat="1" x14ac:dyDescent="0.2">
      <c r="C1294" s="4"/>
      <c r="F1294" s="46"/>
      <c r="G1294" s="164"/>
    </row>
    <row r="1295" spans="3:7" customFormat="1" x14ac:dyDescent="0.2">
      <c r="C1295" s="4"/>
      <c r="F1295" s="46"/>
      <c r="G1295" s="164"/>
    </row>
    <row r="1296" spans="3:7" customFormat="1" x14ac:dyDescent="0.2">
      <c r="C1296" s="4"/>
      <c r="F1296" s="46"/>
      <c r="G1296" s="164"/>
    </row>
    <row r="1297" spans="3:7" customFormat="1" x14ac:dyDescent="0.2">
      <c r="C1297" s="4"/>
      <c r="F1297" s="46"/>
      <c r="G1297" s="164"/>
    </row>
    <row r="1298" spans="3:7" customFormat="1" x14ac:dyDescent="0.2">
      <c r="C1298" s="4"/>
      <c r="F1298" s="46"/>
      <c r="G1298" s="164"/>
    </row>
    <row r="1299" spans="3:7" customFormat="1" x14ac:dyDescent="0.2">
      <c r="C1299" s="7"/>
      <c r="F1299" s="46"/>
      <c r="G1299" s="164"/>
    </row>
    <row r="1300" spans="3:7" customFormat="1" x14ac:dyDescent="0.2">
      <c r="C1300" s="4"/>
      <c r="F1300" s="46"/>
      <c r="G1300" s="164"/>
    </row>
    <row r="1301" spans="3:7" customFormat="1" x14ac:dyDescent="0.2">
      <c r="C1301" s="4"/>
      <c r="F1301" s="46"/>
      <c r="G1301" s="164"/>
    </row>
    <row r="1302" spans="3:7" customFormat="1" x14ac:dyDescent="0.2">
      <c r="C1302" s="4"/>
      <c r="F1302" s="46"/>
      <c r="G1302" s="164"/>
    </row>
    <row r="1303" spans="3:7" customFormat="1" x14ac:dyDescent="0.2">
      <c r="C1303" s="7"/>
      <c r="F1303" s="46"/>
      <c r="G1303" s="164"/>
    </row>
    <row r="1304" spans="3:7" customFormat="1" x14ac:dyDescent="0.2">
      <c r="C1304" s="4"/>
      <c r="F1304" s="46"/>
      <c r="G1304" s="164"/>
    </row>
    <row r="1305" spans="3:7" customFormat="1" x14ac:dyDescent="0.2">
      <c r="C1305" s="4"/>
      <c r="F1305" s="46"/>
      <c r="G1305" s="164"/>
    </row>
    <row r="1306" spans="3:7" customFormat="1" x14ac:dyDescent="0.2">
      <c r="C1306" s="4"/>
      <c r="F1306" s="46"/>
      <c r="G1306" s="164"/>
    </row>
    <row r="1307" spans="3:7" customFormat="1" x14ac:dyDescent="0.2">
      <c r="C1307" s="7"/>
      <c r="F1307" s="46"/>
      <c r="G1307" s="164"/>
    </row>
    <row r="1308" spans="3:7" customFormat="1" x14ac:dyDescent="0.2">
      <c r="C1308" s="4"/>
      <c r="F1308" s="46"/>
      <c r="G1308" s="164"/>
    </row>
    <row r="1309" spans="3:7" customFormat="1" x14ac:dyDescent="0.2">
      <c r="C1309" s="4"/>
      <c r="F1309" s="46"/>
      <c r="G1309" s="164"/>
    </row>
    <row r="1310" spans="3:7" customFormat="1" x14ac:dyDescent="0.2">
      <c r="C1310" s="4"/>
      <c r="F1310" s="46"/>
      <c r="G1310" s="164"/>
    </row>
    <row r="1311" spans="3:7" customFormat="1" x14ac:dyDescent="0.2">
      <c r="C1311" s="4"/>
      <c r="F1311" s="46"/>
      <c r="G1311" s="164"/>
    </row>
    <row r="1312" spans="3:7" customFormat="1" x14ac:dyDescent="0.2">
      <c r="C1312" s="4"/>
      <c r="F1312" s="46"/>
      <c r="G1312" s="164"/>
    </row>
    <row r="1313" spans="3:7" customFormat="1" x14ac:dyDescent="0.2">
      <c r="C1313" s="4"/>
      <c r="F1313" s="46"/>
      <c r="G1313" s="164"/>
    </row>
    <row r="1314" spans="3:7" customFormat="1" x14ac:dyDescent="0.2">
      <c r="C1314" s="4"/>
      <c r="F1314" s="46"/>
      <c r="G1314" s="164"/>
    </row>
    <row r="1315" spans="3:7" customFormat="1" x14ac:dyDescent="0.2">
      <c r="C1315" s="4"/>
      <c r="F1315" s="46"/>
      <c r="G1315" s="164"/>
    </row>
    <row r="1316" spans="3:7" customFormat="1" x14ac:dyDescent="0.2">
      <c r="C1316" s="4"/>
      <c r="F1316" s="46"/>
      <c r="G1316" s="164"/>
    </row>
    <row r="1317" spans="3:7" customFormat="1" x14ac:dyDescent="0.2">
      <c r="C1317" s="4"/>
      <c r="F1317" s="46"/>
      <c r="G1317" s="164"/>
    </row>
    <row r="1318" spans="3:7" customFormat="1" x14ac:dyDescent="0.2">
      <c r="C1318" s="4"/>
      <c r="F1318" s="46"/>
      <c r="G1318" s="164"/>
    </row>
    <row r="1319" spans="3:7" customFormat="1" x14ac:dyDescent="0.2">
      <c r="C1319" s="4"/>
      <c r="F1319" s="46"/>
      <c r="G1319" s="164"/>
    </row>
    <row r="1320" spans="3:7" customFormat="1" x14ac:dyDescent="0.2">
      <c r="C1320" s="4"/>
      <c r="F1320" s="46"/>
      <c r="G1320" s="164"/>
    </row>
    <row r="1321" spans="3:7" customFormat="1" x14ac:dyDescent="0.2">
      <c r="C1321" s="4"/>
      <c r="F1321" s="46"/>
      <c r="G1321" s="164"/>
    </row>
    <row r="1322" spans="3:7" customFormat="1" x14ac:dyDescent="0.2">
      <c r="C1322" s="4"/>
      <c r="F1322" s="46"/>
      <c r="G1322" s="164"/>
    </row>
    <row r="1323" spans="3:7" customFormat="1" x14ac:dyDescent="0.2">
      <c r="C1323" s="4"/>
      <c r="F1323" s="46"/>
      <c r="G1323" s="164"/>
    </row>
    <row r="1324" spans="3:7" customFormat="1" x14ac:dyDescent="0.2">
      <c r="C1324" s="4"/>
      <c r="F1324" s="46"/>
      <c r="G1324" s="164"/>
    </row>
    <row r="1325" spans="3:7" customFormat="1" x14ac:dyDescent="0.2">
      <c r="C1325" s="4"/>
      <c r="F1325" s="46"/>
      <c r="G1325" s="164"/>
    </row>
    <row r="1326" spans="3:7" customFormat="1" x14ac:dyDescent="0.2">
      <c r="C1326" s="4"/>
      <c r="F1326" s="46"/>
      <c r="G1326" s="164"/>
    </row>
    <row r="1327" spans="3:7" customFormat="1" x14ac:dyDescent="0.2">
      <c r="C1327" s="4"/>
      <c r="F1327" s="46"/>
      <c r="G1327" s="164"/>
    </row>
    <row r="1328" spans="3:7" customFormat="1" x14ac:dyDescent="0.2">
      <c r="C1328" s="4"/>
      <c r="F1328" s="46"/>
      <c r="G1328" s="164"/>
    </row>
    <row r="1329" spans="3:7" customFormat="1" x14ac:dyDescent="0.2">
      <c r="C1329" s="4"/>
      <c r="F1329" s="46"/>
      <c r="G1329" s="164"/>
    </row>
    <row r="1330" spans="3:7" customFormat="1" x14ac:dyDescent="0.2">
      <c r="C1330" s="4"/>
      <c r="F1330" s="46"/>
      <c r="G1330" s="164"/>
    </row>
    <row r="1331" spans="3:7" customFormat="1" x14ac:dyDescent="0.2">
      <c r="C1331" s="4"/>
      <c r="F1331" s="46"/>
      <c r="G1331" s="164"/>
    </row>
    <row r="1332" spans="3:7" customFormat="1" x14ac:dyDescent="0.2">
      <c r="C1332" s="4"/>
      <c r="F1332" s="46"/>
      <c r="G1332" s="164"/>
    </row>
    <row r="1333" spans="3:7" customFormat="1" x14ac:dyDescent="0.2">
      <c r="C1333" s="4"/>
      <c r="F1333" s="46"/>
      <c r="G1333" s="164"/>
    </row>
    <row r="1334" spans="3:7" customFormat="1" x14ac:dyDescent="0.2">
      <c r="C1334" s="4"/>
      <c r="F1334" s="46"/>
      <c r="G1334" s="164"/>
    </row>
    <row r="1335" spans="3:7" customFormat="1" x14ac:dyDescent="0.2">
      <c r="C1335" s="4"/>
      <c r="F1335" s="46"/>
      <c r="G1335" s="164"/>
    </row>
    <row r="1336" spans="3:7" customFormat="1" x14ac:dyDescent="0.2">
      <c r="C1336" s="4"/>
      <c r="F1336" s="46"/>
      <c r="G1336" s="164"/>
    </row>
    <row r="1337" spans="3:7" customFormat="1" x14ac:dyDescent="0.2">
      <c r="C1337" s="4"/>
      <c r="F1337" s="46"/>
      <c r="G1337" s="164"/>
    </row>
    <row r="1338" spans="3:7" customFormat="1" x14ac:dyDescent="0.2">
      <c r="C1338" s="4"/>
      <c r="F1338" s="46"/>
      <c r="G1338" s="164"/>
    </row>
    <row r="1339" spans="3:7" customFormat="1" x14ac:dyDescent="0.2">
      <c r="C1339" s="4"/>
      <c r="F1339" s="46"/>
      <c r="G1339" s="164"/>
    </row>
    <row r="1340" spans="3:7" customFormat="1" x14ac:dyDescent="0.2">
      <c r="C1340" s="4"/>
      <c r="F1340" s="46"/>
      <c r="G1340" s="164"/>
    </row>
    <row r="1341" spans="3:7" customFormat="1" x14ac:dyDescent="0.2">
      <c r="C1341" s="4"/>
      <c r="F1341" s="46"/>
      <c r="G1341" s="164"/>
    </row>
    <row r="1342" spans="3:7" customFormat="1" x14ac:dyDescent="0.2">
      <c r="C1342" s="4"/>
      <c r="F1342" s="46"/>
      <c r="G1342" s="164"/>
    </row>
    <row r="1343" spans="3:7" customFormat="1" x14ac:dyDescent="0.2">
      <c r="C1343" s="4"/>
      <c r="F1343" s="46"/>
      <c r="G1343" s="164"/>
    </row>
    <row r="1344" spans="3:7" customFormat="1" x14ac:dyDescent="0.2">
      <c r="C1344" s="4"/>
      <c r="F1344" s="46"/>
      <c r="G1344" s="164"/>
    </row>
    <row r="1345" spans="3:7" customFormat="1" x14ac:dyDescent="0.2">
      <c r="C1345" s="4"/>
      <c r="F1345" s="46"/>
      <c r="G1345" s="164"/>
    </row>
    <row r="1346" spans="3:7" customFormat="1" x14ac:dyDescent="0.2">
      <c r="C1346" s="4"/>
      <c r="F1346" s="46"/>
      <c r="G1346" s="164"/>
    </row>
    <row r="1347" spans="3:7" customFormat="1" x14ac:dyDescent="0.2">
      <c r="C1347" s="4"/>
      <c r="F1347" s="46"/>
      <c r="G1347" s="164"/>
    </row>
    <row r="1348" spans="3:7" customFormat="1" x14ac:dyDescent="0.2">
      <c r="C1348" s="4"/>
      <c r="F1348" s="46"/>
      <c r="G1348" s="164"/>
    </row>
    <row r="1349" spans="3:7" customFormat="1" x14ac:dyDescent="0.2">
      <c r="C1349" s="4"/>
      <c r="F1349" s="46"/>
      <c r="G1349" s="164"/>
    </row>
    <row r="1350" spans="3:7" customFormat="1" x14ac:dyDescent="0.2">
      <c r="C1350" s="4"/>
      <c r="F1350" s="46"/>
      <c r="G1350" s="164"/>
    </row>
    <row r="1351" spans="3:7" customFormat="1" x14ac:dyDescent="0.2">
      <c r="C1351" s="4"/>
      <c r="F1351" s="46"/>
      <c r="G1351" s="164"/>
    </row>
    <row r="1352" spans="3:7" customFormat="1" x14ac:dyDescent="0.2">
      <c r="C1352" s="4"/>
      <c r="F1352" s="46"/>
      <c r="G1352" s="164"/>
    </row>
    <row r="1353" spans="3:7" customFormat="1" x14ac:dyDescent="0.2">
      <c r="C1353" s="4"/>
      <c r="F1353" s="46"/>
      <c r="G1353" s="164"/>
    </row>
    <row r="1354" spans="3:7" customFormat="1" x14ac:dyDescent="0.2">
      <c r="C1354" s="4"/>
      <c r="F1354" s="46"/>
      <c r="G1354" s="164"/>
    </row>
    <row r="1355" spans="3:7" customFormat="1" x14ac:dyDescent="0.2">
      <c r="C1355" s="4"/>
      <c r="F1355" s="46"/>
      <c r="G1355" s="164"/>
    </row>
    <row r="1356" spans="3:7" customFormat="1" x14ac:dyDescent="0.2">
      <c r="C1356" s="4"/>
      <c r="F1356" s="46"/>
      <c r="G1356" s="164"/>
    </row>
    <row r="1357" spans="3:7" customFormat="1" x14ac:dyDescent="0.2">
      <c r="C1357" s="4"/>
      <c r="F1357" s="46"/>
      <c r="G1357" s="164"/>
    </row>
    <row r="1358" spans="3:7" customFormat="1" x14ac:dyDescent="0.2">
      <c r="C1358" s="4"/>
      <c r="F1358" s="46"/>
      <c r="G1358" s="164"/>
    </row>
    <row r="1359" spans="3:7" customFormat="1" x14ac:dyDescent="0.2">
      <c r="C1359" s="4"/>
      <c r="F1359" s="46"/>
      <c r="G1359" s="164"/>
    </row>
    <row r="1360" spans="3:7" customFormat="1" x14ac:dyDescent="0.2">
      <c r="C1360" s="4"/>
      <c r="F1360" s="46"/>
      <c r="G1360" s="164"/>
    </row>
    <row r="1361" spans="3:7" customFormat="1" x14ac:dyDescent="0.2">
      <c r="C1361" s="4"/>
      <c r="F1361" s="46"/>
      <c r="G1361" s="164"/>
    </row>
    <row r="1362" spans="3:7" customFormat="1" x14ac:dyDescent="0.2">
      <c r="C1362" s="4"/>
      <c r="F1362" s="46"/>
      <c r="G1362" s="164"/>
    </row>
    <row r="1363" spans="3:7" customFormat="1" x14ac:dyDescent="0.2">
      <c r="C1363" s="4"/>
      <c r="F1363" s="46"/>
      <c r="G1363" s="164"/>
    </row>
    <row r="1364" spans="3:7" customFormat="1" x14ac:dyDescent="0.2">
      <c r="C1364" s="4"/>
      <c r="F1364" s="46"/>
      <c r="G1364" s="164"/>
    </row>
    <row r="1365" spans="3:7" customFormat="1" x14ac:dyDescent="0.2">
      <c r="C1365" s="4"/>
      <c r="F1365" s="46"/>
      <c r="G1365" s="164"/>
    </row>
    <row r="1366" spans="3:7" customFormat="1" x14ac:dyDescent="0.2">
      <c r="C1366" s="4"/>
      <c r="F1366" s="46"/>
      <c r="G1366" s="164"/>
    </row>
    <row r="1367" spans="3:7" customFormat="1" x14ac:dyDescent="0.2">
      <c r="C1367" s="4"/>
      <c r="F1367" s="46"/>
      <c r="G1367" s="164"/>
    </row>
    <row r="1368" spans="3:7" customFormat="1" x14ac:dyDescent="0.2">
      <c r="C1368" s="4"/>
      <c r="F1368" s="46"/>
      <c r="G1368" s="164"/>
    </row>
    <row r="1369" spans="3:7" customFormat="1" x14ac:dyDescent="0.2">
      <c r="C1369" s="4"/>
      <c r="F1369" s="46"/>
      <c r="G1369" s="164"/>
    </row>
    <row r="1370" spans="3:7" customFormat="1" x14ac:dyDescent="0.2">
      <c r="C1370" s="4"/>
      <c r="F1370" s="46"/>
      <c r="G1370" s="164"/>
    </row>
    <row r="1371" spans="3:7" customFormat="1" x14ac:dyDescent="0.2">
      <c r="C1371" s="4"/>
      <c r="F1371" s="46"/>
      <c r="G1371" s="164"/>
    </row>
    <row r="1372" spans="3:7" customFormat="1" x14ac:dyDescent="0.2">
      <c r="C1372" s="4"/>
      <c r="F1372" s="46"/>
      <c r="G1372" s="164"/>
    </row>
    <row r="1373" spans="3:7" customFormat="1" x14ac:dyDescent="0.2">
      <c r="C1373" s="4"/>
      <c r="F1373" s="46"/>
      <c r="G1373" s="164"/>
    </row>
    <row r="1374" spans="3:7" customFormat="1" x14ac:dyDescent="0.2">
      <c r="C1374" s="4"/>
      <c r="F1374" s="46"/>
      <c r="G1374" s="164"/>
    </row>
    <row r="1375" spans="3:7" customFormat="1" x14ac:dyDescent="0.2">
      <c r="C1375" s="4"/>
      <c r="F1375" s="46"/>
      <c r="G1375" s="164"/>
    </row>
    <row r="1376" spans="3:7" customFormat="1" x14ac:dyDescent="0.2">
      <c r="C1376" s="4"/>
      <c r="F1376" s="46"/>
      <c r="G1376" s="164"/>
    </row>
    <row r="1377" spans="3:7" customFormat="1" x14ac:dyDescent="0.2">
      <c r="C1377" s="4"/>
      <c r="F1377" s="46"/>
      <c r="G1377" s="164"/>
    </row>
    <row r="1378" spans="3:7" customFormat="1" x14ac:dyDescent="0.2">
      <c r="C1378" s="4"/>
      <c r="F1378" s="46"/>
      <c r="G1378" s="164"/>
    </row>
    <row r="1379" spans="3:7" customFormat="1" x14ac:dyDescent="0.2">
      <c r="C1379" s="4"/>
      <c r="F1379" s="46"/>
      <c r="G1379" s="164"/>
    </row>
    <row r="1380" spans="3:7" customFormat="1" x14ac:dyDescent="0.2">
      <c r="C1380" s="4"/>
      <c r="F1380" s="46"/>
      <c r="G1380" s="164"/>
    </row>
    <row r="1381" spans="3:7" customFormat="1" x14ac:dyDescent="0.2">
      <c r="C1381" s="4"/>
      <c r="F1381" s="46"/>
      <c r="G1381" s="164"/>
    </row>
    <row r="1382" spans="3:7" customFormat="1" x14ac:dyDescent="0.2">
      <c r="C1382" s="4"/>
      <c r="F1382" s="46"/>
      <c r="G1382" s="164"/>
    </row>
    <row r="1383" spans="3:7" customFormat="1" x14ac:dyDescent="0.2">
      <c r="C1383" s="4"/>
      <c r="F1383" s="46"/>
      <c r="G1383" s="164"/>
    </row>
    <row r="1384" spans="3:7" customFormat="1" x14ac:dyDescent="0.2">
      <c r="C1384" s="4"/>
      <c r="F1384" s="46"/>
      <c r="G1384" s="164"/>
    </row>
    <row r="1385" spans="3:7" customFormat="1" x14ac:dyDescent="0.2">
      <c r="C1385" s="4"/>
      <c r="F1385" s="46"/>
      <c r="G1385" s="164"/>
    </row>
    <row r="1386" spans="3:7" customFormat="1" x14ac:dyDescent="0.2">
      <c r="C1386" s="4"/>
      <c r="F1386" s="46"/>
      <c r="G1386" s="164"/>
    </row>
    <row r="1387" spans="3:7" customFormat="1" x14ac:dyDescent="0.2">
      <c r="C1387" s="4"/>
      <c r="F1387" s="46"/>
      <c r="G1387" s="164"/>
    </row>
    <row r="1388" spans="3:7" customFormat="1" x14ac:dyDescent="0.2">
      <c r="C1388" s="4"/>
      <c r="F1388" s="46"/>
      <c r="G1388" s="164"/>
    </row>
    <row r="1389" spans="3:7" customFormat="1" x14ac:dyDescent="0.2">
      <c r="C1389" s="4"/>
      <c r="F1389" s="46"/>
      <c r="G1389" s="164"/>
    </row>
    <row r="1390" spans="3:7" customFormat="1" x14ac:dyDescent="0.2">
      <c r="C1390" s="4"/>
      <c r="F1390" s="46"/>
      <c r="G1390" s="164"/>
    </row>
    <row r="1391" spans="3:7" customFormat="1" x14ac:dyDescent="0.2">
      <c r="C1391" s="4"/>
      <c r="F1391" s="46"/>
      <c r="G1391" s="164"/>
    </row>
    <row r="1392" spans="3:7" customFormat="1" x14ac:dyDescent="0.2">
      <c r="C1392" s="4"/>
      <c r="F1392" s="46"/>
      <c r="G1392" s="164"/>
    </row>
    <row r="1393" spans="3:7" customFormat="1" x14ac:dyDescent="0.2">
      <c r="C1393" s="4"/>
      <c r="F1393" s="46"/>
      <c r="G1393" s="164"/>
    </row>
    <row r="1394" spans="3:7" customFormat="1" x14ac:dyDescent="0.2">
      <c r="C1394" s="4"/>
      <c r="F1394" s="46"/>
      <c r="G1394" s="164"/>
    </row>
    <row r="1395" spans="3:7" customFormat="1" x14ac:dyDescent="0.2">
      <c r="C1395" s="4"/>
      <c r="F1395" s="46"/>
      <c r="G1395" s="164"/>
    </row>
    <row r="1396" spans="3:7" customFormat="1" x14ac:dyDescent="0.2">
      <c r="C1396" s="4"/>
      <c r="F1396" s="46"/>
      <c r="G1396" s="164"/>
    </row>
    <row r="1397" spans="3:7" customFormat="1" x14ac:dyDescent="0.2">
      <c r="C1397" s="4"/>
      <c r="F1397" s="46"/>
      <c r="G1397" s="164"/>
    </row>
    <row r="1398" spans="3:7" customFormat="1" x14ac:dyDescent="0.2">
      <c r="C1398" s="4"/>
      <c r="F1398" s="46"/>
      <c r="G1398" s="164"/>
    </row>
    <row r="1399" spans="3:7" customFormat="1" x14ac:dyDescent="0.2">
      <c r="C1399" s="4"/>
      <c r="F1399" s="46"/>
      <c r="G1399" s="164"/>
    </row>
    <row r="1400" spans="3:7" customFormat="1" x14ac:dyDescent="0.2">
      <c r="C1400" s="4"/>
      <c r="F1400" s="46"/>
      <c r="G1400" s="164"/>
    </row>
    <row r="1401" spans="3:7" customFormat="1" x14ac:dyDescent="0.2">
      <c r="C1401" s="4"/>
      <c r="F1401" s="46"/>
      <c r="G1401" s="164"/>
    </row>
    <row r="1402" spans="3:7" customFormat="1" x14ac:dyDescent="0.2">
      <c r="C1402" s="4"/>
      <c r="F1402" s="46"/>
      <c r="G1402" s="164"/>
    </row>
    <row r="1403" spans="3:7" customFormat="1" x14ac:dyDescent="0.2">
      <c r="C1403" s="4"/>
      <c r="F1403" s="46"/>
      <c r="G1403" s="164"/>
    </row>
    <row r="1404" spans="3:7" customFormat="1" x14ac:dyDescent="0.2">
      <c r="C1404" s="4"/>
      <c r="F1404" s="46"/>
      <c r="G1404" s="164"/>
    </row>
    <row r="1405" spans="3:7" customFormat="1" x14ac:dyDescent="0.2">
      <c r="C1405" s="4"/>
      <c r="F1405" s="46"/>
      <c r="G1405" s="164"/>
    </row>
    <row r="1406" spans="3:7" customFormat="1" x14ac:dyDescent="0.2">
      <c r="C1406" s="4"/>
      <c r="F1406" s="46"/>
      <c r="G1406" s="164"/>
    </row>
    <row r="1407" spans="3:7" customFormat="1" x14ac:dyDescent="0.2">
      <c r="C1407" s="4"/>
      <c r="F1407" s="46"/>
      <c r="G1407" s="164"/>
    </row>
    <row r="1408" spans="3:7" customFormat="1" x14ac:dyDescent="0.2">
      <c r="C1408" s="4"/>
      <c r="F1408" s="46"/>
      <c r="G1408" s="164"/>
    </row>
    <row r="1409" spans="3:7" customFormat="1" x14ac:dyDescent="0.2">
      <c r="C1409" s="4"/>
      <c r="F1409" s="46"/>
      <c r="G1409" s="164"/>
    </row>
    <row r="1410" spans="3:7" customFormat="1" x14ac:dyDescent="0.2">
      <c r="C1410" s="4"/>
      <c r="F1410" s="46"/>
      <c r="G1410" s="164"/>
    </row>
    <row r="1411" spans="3:7" customFormat="1" x14ac:dyDescent="0.2">
      <c r="C1411" s="4"/>
      <c r="F1411" s="46"/>
      <c r="G1411" s="164"/>
    </row>
    <row r="1412" spans="3:7" customFormat="1" x14ac:dyDescent="0.2">
      <c r="C1412" s="4"/>
      <c r="F1412" s="46"/>
      <c r="G1412" s="164"/>
    </row>
    <row r="1413" spans="3:7" customFormat="1" x14ac:dyDescent="0.2">
      <c r="C1413" s="4"/>
      <c r="F1413" s="46"/>
      <c r="G1413" s="164"/>
    </row>
    <row r="1414" spans="3:7" customFormat="1" x14ac:dyDescent="0.2">
      <c r="C1414" s="4"/>
      <c r="F1414" s="46"/>
      <c r="G1414" s="164"/>
    </row>
    <row r="1415" spans="3:7" customFormat="1" x14ac:dyDescent="0.2">
      <c r="C1415" s="7"/>
      <c r="F1415" s="46"/>
      <c r="G1415" s="164"/>
    </row>
    <row r="1416" spans="3:7" customFormat="1" x14ac:dyDescent="0.2">
      <c r="C1416" s="4"/>
      <c r="F1416" s="46"/>
      <c r="G1416" s="164"/>
    </row>
    <row r="1417" spans="3:7" customFormat="1" x14ac:dyDescent="0.2">
      <c r="C1417" s="4"/>
      <c r="F1417" s="46"/>
      <c r="G1417" s="164"/>
    </row>
    <row r="1418" spans="3:7" customFormat="1" x14ac:dyDescent="0.2">
      <c r="C1418" s="4"/>
      <c r="F1418" s="46"/>
      <c r="G1418" s="164"/>
    </row>
    <row r="1419" spans="3:7" customFormat="1" x14ac:dyDescent="0.2">
      <c r="C1419" s="4"/>
      <c r="F1419" s="46"/>
      <c r="G1419" s="164"/>
    </row>
    <row r="1420" spans="3:7" customFormat="1" x14ac:dyDescent="0.2">
      <c r="C1420" s="4"/>
      <c r="F1420" s="46"/>
      <c r="G1420" s="164"/>
    </row>
    <row r="1421" spans="3:7" customFormat="1" x14ac:dyDescent="0.2">
      <c r="C1421" s="3"/>
      <c r="F1421" s="46"/>
      <c r="G1421" s="164"/>
    </row>
    <row r="1422" spans="3:7" customFormat="1" x14ac:dyDescent="0.2">
      <c r="C1422" s="4"/>
      <c r="F1422" s="46"/>
      <c r="G1422" s="164"/>
    </row>
    <row r="1423" spans="3:7" customFormat="1" x14ac:dyDescent="0.2">
      <c r="C1423" s="4"/>
      <c r="F1423" s="46"/>
      <c r="G1423" s="164"/>
    </row>
    <row r="1424" spans="3:7" customFormat="1" x14ac:dyDescent="0.2">
      <c r="C1424" s="4"/>
      <c r="F1424" s="46"/>
      <c r="G1424" s="164"/>
    </row>
    <row r="1425" spans="3:7" customFormat="1" x14ac:dyDescent="0.2">
      <c r="C1425" s="4"/>
      <c r="F1425" s="46"/>
      <c r="G1425" s="164"/>
    </row>
    <row r="1426" spans="3:7" customFormat="1" x14ac:dyDescent="0.2">
      <c r="C1426" s="4"/>
      <c r="F1426" s="46"/>
      <c r="G1426" s="164"/>
    </row>
    <row r="1427" spans="3:7" customFormat="1" x14ac:dyDescent="0.2">
      <c r="C1427" s="4"/>
      <c r="F1427" s="46"/>
      <c r="G1427" s="164"/>
    </row>
    <row r="1428" spans="3:7" customFormat="1" x14ac:dyDescent="0.2">
      <c r="C1428" s="4"/>
      <c r="F1428" s="46"/>
      <c r="G1428" s="164"/>
    </row>
    <row r="1429" spans="3:7" customFormat="1" x14ac:dyDescent="0.2">
      <c r="C1429" s="4"/>
      <c r="F1429" s="46"/>
      <c r="G1429" s="164"/>
    </row>
    <row r="1430" spans="3:7" customFormat="1" x14ac:dyDescent="0.2">
      <c r="C1430" s="4"/>
      <c r="F1430" s="46"/>
      <c r="G1430" s="164"/>
    </row>
    <row r="1431" spans="3:7" customFormat="1" x14ac:dyDescent="0.2">
      <c r="C1431" s="4"/>
      <c r="F1431" s="46"/>
      <c r="G1431" s="164"/>
    </row>
    <row r="1432" spans="3:7" customFormat="1" x14ac:dyDescent="0.2">
      <c r="C1432" s="4"/>
      <c r="F1432" s="46"/>
      <c r="G1432" s="164"/>
    </row>
    <row r="1433" spans="3:7" customFormat="1" x14ac:dyDescent="0.2">
      <c r="C1433" s="4"/>
      <c r="F1433" s="46"/>
      <c r="G1433" s="164"/>
    </row>
    <row r="1434" spans="3:7" customFormat="1" x14ac:dyDescent="0.2">
      <c r="C1434" s="4"/>
      <c r="F1434" s="46"/>
      <c r="G1434" s="164"/>
    </row>
    <row r="1435" spans="3:7" customFormat="1" x14ac:dyDescent="0.2">
      <c r="C1435" s="4"/>
      <c r="F1435" s="46"/>
      <c r="G1435" s="164"/>
    </row>
    <row r="1436" spans="3:7" customFormat="1" x14ac:dyDescent="0.2">
      <c r="C1436" s="4"/>
      <c r="F1436" s="46"/>
      <c r="G1436" s="164"/>
    </row>
    <row r="1437" spans="3:7" customFormat="1" x14ac:dyDescent="0.2">
      <c r="C1437" s="4"/>
      <c r="F1437" s="46"/>
      <c r="G1437" s="164"/>
    </row>
    <row r="1438" spans="3:7" customFormat="1" x14ac:dyDescent="0.2">
      <c r="C1438" s="4"/>
      <c r="F1438" s="46"/>
      <c r="G1438" s="164"/>
    </row>
    <row r="1439" spans="3:7" customFormat="1" x14ac:dyDescent="0.2">
      <c r="C1439" s="4"/>
      <c r="F1439" s="46"/>
      <c r="G1439" s="164"/>
    </row>
    <row r="1440" spans="3:7" customFormat="1" x14ac:dyDescent="0.2">
      <c r="C1440" s="4"/>
      <c r="F1440" s="46"/>
      <c r="G1440" s="164"/>
    </row>
    <row r="1441" spans="3:7" customFormat="1" x14ac:dyDescent="0.2">
      <c r="C1441" s="4"/>
      <c r="F1441" s="46"/>
      <c r="G1441" s="164"/>
    </row>
    <row r="1442" spans="3:7" customFormat="1" x14ac:dyDescent="0.2">
      <c r="C1442" s="4"/>
      <c r="F1442" s="46"/>
      <c r="G1442" s="164"/>
    </row>
    <row r="1443" spans="3:7" customFormat="1" x14ac:dyDescent="0.2">
      <c r="C1443" s="4"/>
      <c r="F1443" s="46"/>
      <c r="G1443" s="164"/>
    </row>
    <row r="1444" spans="3:7" customFormat="1" x14ac:dyDescent="0.2">
      <c r="C1444" s="4"/>
      <c r="F1444" s="46"/>
      <c r="G1444" s="164"/>
    </row>
    <row r="1445" spans="3:7" customFormat="1" x14ac:dyDescent="0.2">
      <c r="C1445" s="4"/>
      <c r="F1445" s="46"/>
      <c r="G1445" s="164"/>
    </row>
    <row r="1446" spans="3:7" customFormat="1" x14ac:dyDescent="0.2">
      <c r="C1446" s="4"/>
      <c r="F1446" s="46"/>
      <c r="G1446" s="164"/>
    </row>
    <row r="1447" spans="3:7" customFormat="1" x14ac:dyDescent="0.2">
      <c r="C1447" s="4"/>
      <c r="F1447" s="46"/>
      <c r="G1447" s="164"/>
    </row>
    <row r="1448" spans="3:7" customFormat="1" x14ac:dyDescent="0.2">
      <c r="C1448" s="8"/>
      <c r="F1448" s="46"/>
      <c r="G1448" s="164"/>
    </row>
    <row r="1449" spans="3:7" customFormat="1" x14ac:dyDescent="0.2">
      <c r="C1449" s="4"/>
      <c r="F1449" s="46"/>
      <c r="G1449" s="164"/>
    </row>
    <row r="1450" spans="3:7" customFormat="1" x14ac:dyDescent="0.2">
      <c r="C1450" s="4"/>
      <c r="F1450" s="46"/>
      <c r="G1450" s="164"/>
    </row>
    <row r="1451" spans="3:7" customFormat="1" x14ac:dyDescent="0.2">
      <c r="C1451" s="4"/>
      <c r="F1451" s="46"/>
      <c r="G1451" s="164"/>
    </row>
    <row r="1452" spans="3:7" customFormat="1" x14ac:dyDescent="0.2">
      <c r="C1452" s="4"/>
      <c r="F1452" s="46"/>
      <c r="G1452" s="164"/>
    </row>
    <row r="1453" spans="3:7" customFormat="1" x14ac:dyDescent="0.2">
      <c r="C1453" s="4"/>
      <c r="F1453" s="46"/>
      <c r="G1453" s="164"/>
    </row>
    <row r="1454" spans="3:7" customFormat="1" x14ac:dyDescent="0.2">
      <c r="C1454" s="4"/>
      <c r="F1454" s="46"/>
      <c r="G1454" s="164"/>
    </row>
    <row r="1455" spans="3:7" customFormat="1" x14ac:dyDescent="0.2">
      <c r="C1455" s="4"/>
      <c r="F1455" s="46"/>
      <c r="G1455" s="164"/>
    </row>
    <row r="1456" spans="3:7" customFormat="1" x14ac:dyDescent="0.2">
      <c r="C1456" s="4"/>
      <c r="F1456" s="46"/>
      <c r="G1456" s="164"/>
    </row>
    <row r="1457" spans="3:7" customFormat="1" x14ac:dyDescent="0.2">
      <c r="C1457" s="4"/>
      <c r="F1457" s="46"/>
      <c r="G1457" s="164"/>
    </row>
    <row r="1458" spans="3:7" customFormat="1" x14ac:dyDescent="0.2">
      <c r="C1458" s="4"/>
      <c r="F1458" s="46"/>
      <c r="G1458" s="164"/>
    </row>
    <row r="1459" spans="3:7" customFormat="1" x14ac:dyDescent="0.2">
      <c r="C1459" s="4"/>
      <c r="F1459" s="46"/>
      <c r="G1459" s="164"/>
    </row>
    <row r="1460" spans="3:7" customFormat="1" x14ac:dyDescent="0.2">
      <c r="C1460" s="4"/>
      <c r="F1460" s="46"/>
      <c r="G1460" s="164"/>
    </row>
    <row r="1461" spans="3:7" customFormat="1" x14ac:dyDescent="0.2">
      <c r="C1461" s="4"/>
      <c r="F1461" s="46"/>
      <c r="G1461" s="164"/>
    </row>
    <row r="1462" spans="3:7" customFormat="1" x14ac:dyDescent="0.2">
      <c r="C1462" s="4"/>
      <c r="F1462" s="46"/>
      <c r="G1462" s="164"/>
    </row>
    <row r="1463" spans="3:7" customFormat="1" x14ac:dyDescent="0.2">
      <c r="C1463" s="4"/>
      <c r="F1463" s="46"/>
      <c r="G1463" s="164"/>
    </row>
    <row r="1464" spans="3:7" customFormat="1" x14ac:dyDescent="0.2">
      <c r="C1464" s="4"/>
      <c r="F1464" s="46"/>
      <c r="G1464" s="164"/>
    </row>
    <row r="1465" spans="3:7" customFormat="1" x14ac:dyDescent="0.2">
      <c r="C1465" s="4"/>
      <c r="F1465" s="46"/>
      <c r="G1465" s="164"/>
    </row>
    <row r="1466" spans="3:7" customFormat="1" x14ac:dyDescent="0.2">
      <c r="C1466" s="4"/>
      <c r="F1466" s="46"/>
      <c r="G1466" s="164"/>
    </row>
    <row r="1467" spans="3:7" customFormat="1" x14ac:dyDescent="0.2">
      <c r="C1467" s="4"/>
      <c r="F1467" s="46"/>
      <c r="G1467" s="164"/>
    </row>
    <row r="1468" spans="3:7" customFormat="1" x14ac:dyDescent="0.2">
      <c r="C1468" s="4"/>
      <c r="F1468" s="46"/>
      <c r="G1468" s="164"/>
    </row>
    <row r="1469" spans="3:7" customFormat="1" x14ac:dyDescent="0.2">
      <c r="C1469" s="4"/>
      <c r="F1469" s="46"/>
      <c r="G1469" s="164"/>
    </row>
    <row r="1470" spans="3:7" customFormat="1" x14ac:dyDescent="0.2">
      <c r="C1470" s="4"/>
      <c r="F1470" s="46"/>
      <c r="G1470" s="164"/>
    </row>
    <row r="1471" spans="3:7" customFormat="1" x14ac:dyDescent="0.2">
      <c r="C1471" s="4"/>
      <c r="F1471" s="46"/>
      <c r="G1471" s="164"/>
    </row>
    <row r="1472" spans="3:7" customFormat="1" x14ac:dyDescent="0.2">
      <c r="C1472" s="4"/>
      <c r="F1472" s="46"/>
      <c r="G1472" s="164"/>
    </row>
    <row r="1473" spans="3:7" customFormat="1" x14ac:dyDescent="0.2">
      <c r="C1473" s="4"/>
      <c r="F1473" s="46"/>
      <c r="G1473" s="164"/>
    </row>
    <row r="1474" spans="3:7" customFormat="1" x14ac:dyDescent="0.2">
      <c r="C1474" s="4"/>
      <c r="F1474" s="46"/>
      <c r="G1474" s="164"/>
    </row>
    <row r="1475" spans="3:7" customFormat="1" x14ac:dyDescent="0.2">
      <c r="C1475" s="4"/>
      <c r="F1475" s="46"/>
      <c r="G1475" s="164"/>
    </row>
    <row r="1476" spans="3:7" customFormat="1" x14ac:dyDescent="0.2">
      <c r="C1476" s="4"/>
      <c r="F1476" s="46"/>
      <c r="G1476" s="164"/>
    </row>
    <row r="1477" spans="3:7" customFormat="1" x14ac:dyDescent="0.2">
      <c r="C1477" s="4"/>
      <c r="F1477" s="46"/>
      <c r="G1477" s="164"/>
    </row>
    <row r="1478" spans="3:7" customFormat="1" x14ac:dyDescent="0.2">
      <c r="C1478" s="4"/>
      <c r="F1478" s="46"/>
      <c r="G1478" s="164"/>
    </row>
    <row r="1479" spans="3:7" customFormat="1" x14ac:dyDescent="0.2">
      <c r="C1479" s="4"/>
      <c r="F1479" s="46"/>
      <c r="G1479" s="164"/>
    </row>
    <row r="1480" spans="3:7" customFormat="1" x14ac:dyDescent="0.2">
      <c r="C1480" s="4"/>
      <c r="F1480" s="46"/>
      <c r="G1480" s="164"/>
    </row>
    <row r="1481" spans="3:7" customFormat="1" x14ac:dyDescent="0.2">
      <c r="C1481" s="4"/>
      <c r="F1481" s="46"/>
      <c r="G1481" s="164"/>
    </row>
    <row r="1482" spans="3:7" customFormat="1" x14ac:dyDescent="0.2">
      <c r="C1482" s="4"/>
      <c r="F1482" s="46"/>
      <c r="G1482" s="164"/>
    </row>
    <row r="1483" spans="3:7" customFormat="1" x14ac:dyDescent="0.2">
      <c r="C1483" s="4"/>
      <c r="F1483" s="46"/>
      <c r="G1483" s="164"/>
    </row>
    <row r="1484" spans="3:7" customFormat="1" x14ac:dyDescent="0.2">
      <c r="C1484" s="4"/>
      <c r="F1484" s="46"/>
      <c r="G1484" s="164"/>
    </row>
    <row r="1485" spans="3:7" customFormat="1" x14ac:dyDescent="0.2">
      <c r="C1485" s="4"/>
      <c r="F1485" s="46"/>
      <c r="G1485" s="164"/>
    </row>
    <row r="1486" spans="3:7" customFormat="1" x14ac:dyDescent="0.2">
      <c r="C1486" s="4"/>
      <c r="F1486" s="46"/>
      <c r="G1486" s="164"/>
    </row>
    <row r="1487" spans="3:7" customFormat="1" x14ac:dyDescent="0.2">
      <c r="C1487" s="4"/>
      <c r="F1487" s="46"/>
      <c r="G1487" s="164"/>
    </row>
    <row r="1488" spans="3:7" customFormat="1" x14ac:dyDescent="0.2">
      <c r="C1488" s="4"/>
      <c r="F1488" s="46"/>
      <c r="G1488" s="164"/>
    </row>
    <row r="1489" spans="3:7" customFormat="1" x14ac:dyDescent="0.2">
      <c r="C1489" s="4"/>
      <c r="F1489" s="46"/>
      <c r="G1489" s="164"/>
    </row>
    <row r="1490" spans="3:7" customFormat="1" x14ac:dyDescent="0.2">
      <c r="C1490" s="4"/>
      <c r="F1490" s="46"/>
      <c r="G1490" s="164"/>
    </row>
    <row r="1491" spans="3:7" customFormat="1" x14ac:dyDescent="0.2">
      <c r="C1491" s="3"/>
      <c r="F1491" s="46"/>
      <c r="G1491" s="164"/>
    </row>
    <row r="1492" spans="3:7" customFormat="1" x14ac:dyDescent="0.2">
      <c r="C1492" s="4"/>
      <c r="F1492" s="46"/>
      <c r="G1492" s="164"/>
    </row>
    <row r="1493" spans="3:7" customFormat="1" x14ac:dyDescent="0.2">
      <c r="C1493" s="4"/>
      <c r="F1493" s="46"/>
      <c r="G1493" s="164"/>
    </row>
    <row r="1494" spans="3:7" customFormat="1" x14ac:dyDescent="0.2">
      <c r="C1494" s="4"/>
      <c r="F1494" s="46"/>
      <c r="G1494" s="164"/>
    </row>
    <row r="1495" spans="3:7" customFormat="1" x14ac:dyDescent="0.2">
      <c r="C1495" s="4"/>
      <c r="F1495" s="46"/>
      <c r="G1495" s="164"/>
    </row>
    <row r="1496" spans="3:7" customFormat="1" x14ac:dyDescent="0.2">
      <c r="C1496" s="4"/>
      <c r="F1496" s="46"/>
      <c r="G1496" s="164"/>
    </row>
    <row r="1497" spans="3:7" customFormat="1" x14ac:dyDescent="0.2">
      <c r="C1497" s="4"/>
      <c r="F1497" s="46"/>
      <c r="G1497" s="164"/>
    </row>
    <row r="1498" spans="3:7" customFormat="1" x14ac:dyDescent="0.2">
      <c r="C1498" s="4"/>
      <c r="F1498" s="46"/>
      <c r="G1498" s="164"/>
    </row>
    <row r="1499" spans="3:7" customFormat="1" x14ac:dyDescent="0.2">
      <c r="C1499" s="4"/>
      <c r="F1499" s="46"/>
      <c r="G1499" s="164"/>
    </row>
    <row r="1500" spans="3:7" customFormat="1" x14ac:dyDescent="0.2">
      <c r="C1500" s="4"/>
      <c r="F1500" s="46"/>
      <c r="G1500" s="164"/>
    </row>
    <row r="1501" spans="3:7" customFormat="1" x14ac:dyDescent="0.2">
      <c r="C1501" s="4"/>
      <c r="F1501" s="46"/>
      <c r="G1501" s="164"/>
    </row>
    <row r="1502" spans="3:7" customFormat="1" x14ac:dyDescent="0.2">
      <c r="C1502" s="4"/>
      <c r="F1502" s="46"/>
      <c r="G1502" s="164"/>
    </row>
    <row r="1503" spans="3:7" customFormat="1" x14ac:dyDescent="0.2">
      <c r="C1503" s="4"/>
      <c r="F1503" s="46"/>
      <c r="G1503" s="164"/>
    </row>
    <row r="1504" spans="3:7" customFormat="1" x14ac:dyDescent="0.2">
      <c r="C1504" s="4"/>
      <c r="F1504" s="46"/>
      <c r="G1504" s="164"/>
    </row>
    <row r="1505" spans="3:7" customFormat="1" x14ac:dyDescent="0.2">
      <c r="C1505" s="4"/>
      <c r="F1505" s="46"/>
      <c r="G1505" s="164"/>
    </row>
    <row r="1506" spans="3:7" customFormat="1" x14ac:dyDescent="0.2">
      <c r="C1506" s="4"/>
      <c r="F1506" s="46"/>
      <c r="G1506" s="164"/>
    </row>
    <row r="1507" spans="3:7" customFormat="1" x14ac:dyDescent="0.2">
      <c r="C1507" s="4"/>
      <c r="F1507" s="46"/>
      <c r="G1507" s="164"/>
    </row>
    <row r="1508" spans="3:7" customFormat="1" x14ac:dyDescent="0.2">
      <c r="C1508" s="4"/>
      <c r="F1508" s="46"/>
      <c r="G1508" s="164"/>
    </row>
    <row r="1509" spans="3:7" customFormat="1" x14ac:dyDescent="0.2">
      <c r="C1509" s="4"/>
      <c r="F1509" s="46"/>
      <c r="G1509" s="164"/>
    </row>
    <row r="1510" spans="3:7" customFormat="1" x14ac:dyDescent="0.2">
      <c r="C1510" s="4"/>
      <c r="F1510" s="46"/>
      <c r="G1510" s="164"/>
    </row>
    <row r="1511" spans="3:7" customFormat="1" x14ac:dyDescent="0.2">
      <c r="C1511" s="4"/>
      <c r="F1511" s="46"/>
      <c r="G1511" s="164"/>
    </row>
    <row r="1512" spans="3:7" customFormat="1" x14ac:dyDescent="0.2">
      <c r="C1512" s="4"/>
      <c r="F1512" s="46"/>
      <c r="G1512" s="164"/>
    </row>
    <row r="1513" spans="3:7" customFormat="1" x14ac:dyDescent="0.2">
      <c r="C1513" s="4"/>
      <c r="F1513" s="46"/>
      <c r="G1513" s="164"/>
    </row>
    <row r="1514" spans="3:7" customFormat="1" x14ac:dyDescent="0.2">
      <c r="C1514" s="4"/>
      <c r="F1514" s="46"/>
      <c r="G1514" s="164"/>
    </row>
    <row r="1515" spans="3:7" customFormat="1" x14ac:dyDescent="0.2">
      <c r="C1515" s="4"/>
      <c r="F1515" s="46"/>
      <c r="G1515" s="164"/>
    </row>
    <row r="1516" spans="3:7" customFormat="1" x14ac:dyDescent="0.2">
      <c r="C1516" s="4"/>
      <c r="F1516" s="46"/>
      <c r="G1516" s="164"/>
    </row>
    <row r="1517" spans="3:7" customFormat="1" x14ac:dyDescent="0.2">
      <c r="C1517" s="4"/>
      <c r="F1517" s="46"/>
      <c r="G1517" s="164"/>
    </row>
    <row r="1518" spans="3:7" customFormat="1" x14ac:dyDescent="0.2">
      <c r="C1518" s="4"/>
      <c r="F1518" s="46"/>
      <c r="G1518" s="164"/>
    </row>
    <row r="1519" spans="3:7" customFormat="1" x14ac:dyDescent="0.2">
      <c r="C1519" s="4"/>
      <c r="F1519" s="46"/>
      <c r="G1519" s="164"/>
    </row>
    <row r="1520" spans="3:7" customFormat="1" x14ac:dyDescent="0.2">
      <c r="C1520" s="4"/>
      <c r="F1520" s="46"/>
      <c r="G1520" s="164"/>
    </row>
    <row r="1521" spans="3:7" customFormat="1" x14ac:dyDescent="0.2">
      <c r="C1521" s="4"/>
      <c r="F1521" s="46"/>
      <c r="G1521" s="164"/>
    </row>
    <row r="1522" spans="3:7" customFormat="1" x14ac:dyDescent="0.2">
      <c r="C1522" s="4"/>
      <c r="F1522" s="46"/>
      <c r="G1522" s="164"/>
    </row>
    <row r="1523" spans="3:7" customFormat="1" x14ac:dyDescent="0.2">
      <c r="C1523" s="4"/>
      <c r="F1523" s="46"/>
      <c r="G1523" s="164"/>
    </row>
    <row r="1524" spans="3:7" customFormat="1" x14ac:dyDescent="0.2">
      <c r="C1524" s="4"/>
      <c r="F1524" s="46"/>
      <c r="G1524" s="164"/>
    </row>
    <row r="1525" spans="3:7" customFormat="1" x14ac:dyDescent="0.2">
      <c r="C1525" s="4"/>
      <c r="F1525" s="46"/>
      <c r="G1525" s="164"/>
    </row>
    <row r="1526" spans="3:7" customFormat="1" x14ac:dyDescent="0.2">
      <c r="C1526" s="4"/>
      <c r="F1526" s="46"/>
      <c r="G1526" s="164"/>
    </row>
    <row r="1527" spans="3:7" customFormat="1" x14ac:dyDescent="0.2">
      <c r="C1527" s="4"/>
      <c r="F1527" s="46"/>
      <c r="G1527" s="164"/>
    </row>
    <row r="1528" spans="3:7" customFormat="1" x14ac:dyDescent="0.2">
      <c r="C1528" s="4"/>
      <c r="F1528" s="46"/>
      <c r="G1528" s="164"/>
    </row>
    <row r="1529" spans="3:7" customFormat="1" x14ac:dyDescent="0.2">
      <c r="C1529" s="4"/>
      <c r="F1529" s="46"/>
      <c r="G1529" s="164"/>
    </row>
    <row r="1530" spans="3:7" customFormat="1" x14ac:dyDescent="0.2">
      <c r="C1530" s="4"/>
      <c r="F1530" s="46"/>
      <c r="G1530" s="164"/>
    </row>
    <row r="1531" spans="3:7" customFormat="1" x14ac:dyDescent="0.2">
      <c r="C1531" s="4"/>
      <c r="F1531" s="46"/>
      <c r="G1531" s="164"/>
    </row>
    <row r="1532" spans="3:7" customFormat="1" x14ac:dyDescent="0.2">
      <c r="C1532" s="4"/>
      <c r="F1532" s="46"/>
      <c r="G1532" s="164"/>
    </row>
    <row r="1533" spans="3:7" customFormat="1" x14ac:dyDescent="0.2">
      <c r="C1533" s="4"/>
      <c r="F1533" s="46"/>
      <c r="G1533" s="164"/>
    </row>
    <row r="1534" spans="3:7" customFormat="1" x14ac:dyDescent="0.2">
      <c r="C1534" s="4"/>
      <c r="F1534" s="46"/>
      <c r="G1534" s="164"/>
    </row>
    <row r="1535" spans="3:7" customFormat="1" x14ac:dyDescent="0.2">
      <c r="C1535" s="4"/>
      <c r="F1535" s="46"/>
      <c r="G1535" s="164"/>
    </row>
    <row r="1536" spans="3:7" customFormat="1" x14ac:dyDescent="0.2">
      <c r="C1536" s="4"/>
      <c r="F1536" s="46"/>
      <c r="G1536" s="164"/>
    </row>
    <row r="1537" spans="3:7" customFormat="1" x14ac:dyDescent="0.2">
      <c r="C1537" s="4"/>
      <c r="F1537" s="46"/>
      <c r="G1537" s="164"/>
    </row>
    <row r="1538" spans="3:7" customFormat="1" x14ac:dyDescent="0.2">
      <c r="C1538" s="4"/>
      <c r="F1538" s="46"/>
      <c r="G1538" s="164"/>
    </row>
    <row r="1539" spans="3:7" customFormat="1" x14ac:dyDescent="0.2">
      <c r="C1539" s="4"/>
      <c r="F1539" s="46"/>
      <c r="G1539" s="164"/>
    </row>
    <row r="1540" spans="3:7" customFormat="1" x14ac:dyDescent="0.2">
      <c r="C1540" s="4"/>
      <c r="F1540" s="46"/>
      <c r="G1540" s="164"/>
    </row>
    <row r="1541" spans="3:7" customFormat="1" x14ac:dyDescent="0.2">
      <c r="C1541" s="4"/>
      <c r="F1541" s="46"/>
      <c r="G1541" s="164"/>
    </row>
    <row r="1542" spans="3:7" customFormat="1" x14ac:dyDescent="0.2">
      <c r="C1542" s="4"/>
      <c r="F1542" s="46"/>
      <c r="G1542" s="164"/>
    </row>
    <row r="1543" spans="3:7" customFormat="1" x14ac:dyDescent="0.2">
      <c r="C1543" s="4"/>
      <c r="F1543" s="46"/>
      <c r="G1543" s="164"/>
    </row>
    <row r="1544" spans="3:7" customFormat="1" x14ac:dyDescent="0.2">
      <c r="C1544" s="4"/>
      <c r="F1544" s="46"/>
      <c r="G1544" s="164"/>
    </row>
    <row r="1545" spans="3:7" customFormat="1" x14ac:dyDescent="0.2">
      <c r="C1545" s="4"/>
      <c r="F1545" s="46"/>
      <c r="G1545" s="164"/>
    </row>
    <row r="1546" spans="3:7" customFormat="1" x14ac:dyDescent="0.2">
      <c r="C1546" s="4"/>
      <c r="F1546" s="46"/>
      <c r="G1546" s="164"/>
    </row>
    <row r="1547" spans="3:7" customFormat="1" x14ac:dyDescent="0.2">
      <c r="C1547" s="4"/>
      <c r="F1547" s="46"/>
      <c r="G1547" s="164"/>
    </row>
    <row r="1548" spans="3:7" customFormat="1" x14ac:dyDescent="0.2">
      <c r="C1548" s="4"/>
      <c r="F1548" s="46"/>
      <c r="G1548" s="164"/>
    </row>
    <row r="1549" spans="3:7" customFormat="1" x14ac:dyDescent="0.2">
      <c r="C1549" s="4"/>
      <c r="F1549" s="46"/>
      <c r="G1549" s="164"/>
    </row>
    <row r="1550" spans="3:7" customFormat="1" x14ac:dyDescent="0.2">
      <c r="C1550" s="252"/>
      <c r="F1550" s="46"/>
      <c r="G1550" s="164"/>
    </row>
    <row r="1551" spans="3:7" customFormat="1" x14ac:dyDescent="0.2">
      <c r="C1551" s="252"/>
      <c r="F1551" s="46"/>
      <c r="G1551" s="164"/>
    </row>
    <row r="1552" spans="3:7" customFormat="1" x14ac:dyDescent="0.2">
      <c r="C1552" s="4"/>
      <c r="F1552" s="46"/>
      <c r="G1552" s="164"/>
    </row>
    <row r="1553" spans="3:7" customFormat="1" x14ac:dyDescent="0.2">
      <c r="C1553" s="4"/>
      <c r="F1553" s="46"/>
      <c r="G1553" s="164"/>
    </row>
    <row r="1554" spans="3:7" customFormat="1" x14ac:dyDescent="0.2">
      <c r="C1554" s="4"/>
      <c r="F1554" s="46"/>
      <c r="G1554" s="164"/>
    </row>
    <row r="1555" spans="3:7" customFormat="1" x14ac:dyDescent="0.2">
      <c r="C1555" s="4"/>
      <c r="F1555" s="46"/>
      <c r="G1555" s="164"/>
    </row>
    <row r="1556" spans="3:7" customFormat="1" x14ac:dyDescent="0.2">
      <c r="C1556" s="4"/>
      <c r="F1556" s="46"/>
      <c r="G1556" s="164"/>
    </row>
    <row r="1557" spans="3:7" customFormat="1" x14ac:dyDescent="0.2">
      <c r="C1557" s="4"/>
      <c r="F1557" s="46"/>
      <c r="G1557" s="164"/>
    </row>
    <row r="1558" spans="3:7" customFormat="1" x14ac:dyDescent="0.2">
      <c r="C1558" s="4"/>
      <c r="F1558" s="46"/>
      <c r="G1558" s="164"/>
    </row>
    <row r="1559" spans="3:7" customFormat="1" x14ac:dyDescent="0.2">
      <c r="C1559" s="4"/>
      <c r="F1559" s="46"/>
      <c r="G1559" s="164"/>
    </row>
    <row r="1560" spans="3:7" customFormat="1" x14ac:dyDescent="0.2">
      <c r="C1560" s="4"/>
      <c r="F1560" s="46"/>
      <c r="G1560" s="164"/>
    </row>
    <row r="1561" spans="3:7" customFormat="1" x14ac:dyDescent="0.2">
      <c r="C1561" s="4"/>
      <c r="F1561" s="46"/>
      <c r="G1561" s="164"/>
    </row>
    <row r="1562" spans="3:7" customFormat="1" x14ac:dyDescent="0.2">
      <c r="C1562" s="4"/>
      <c r="F1562" s="46"/>
      <c r="G1562" s="164"/>
    </row>
    <row r="1563" spans="3:7" customFormat="1" x14ac:dyDescent="0.2">
      <c r="C1563" s="4"/>
      <c r="F1563" s="46"/>
      <c r="G1563" s="164"/>
    </row>
    <row r="1564" spans="3:7" customFormat="1" x14ac:dyDescent="0.2">
      <c r="C1564" s="4"/>
      <c r="F1564" s="46"/>
      <c r="G1564" s="164"/>
    </row>
    <row r="1565" spans="3:7" customFormat="1" x14ac:dyDescent="0.2">
      <c r="C1565" s="4"/>
      <c r="F1565" s="46"/>
      <c r="G1565" s="164"/>
    </row>
    <row r="1566" spans="3:7" customFormat="1" x14ac:dyDescent="0.2">
      <c r="C1566" s="4"/>
      <c r="F1566" s="46"/>
      <c r="G1566" s="164"/>
    </row>
    <row r="1567" spans="3:7" customFormat="1" x14ac:dyDescent="0.2">
      <c r="C1567" s="4"/>
      <c r="F1567" s="46"/>
      <c r="G1567" s="164"/>
    </row>
    <row r="1568" spans="3:7" customFormat="1" x14ac:dyDescent="0.2">
      <c r="C1568" s="4"/>
      <c r="F1568" s="46"/>
      <c r="G1568" s="164"/>
    </row>
    <row r="1569" spans="3:7" customFormat="1" x14ac:dyDescent="0.2">
      <c r="C1569" s="4"/>
      <c r="F1569" s="46"/>
      <c r="G1569" s="164"/>
    </row>
    <row r="1570" spans="3:7" customFormat="1" x14ac:dyDescent="0.2">
      <c r="C1570" s="4"/>
      <c r="F1570" s="46"/>
      <c r="G1570" s="164"/>
    </row>
    <row r="1571" spans="3:7" customFormat="1" x14ac:dyDescent="0.2">
      <c r="C1571" s="4"/>
      <c r="F1571" s="46"/>
      <c r="G1571" s="164"/>
    </row>
    <row r="1572" spans="3:7" customFormat="1" x14ac:dyDescent="0.2">
      <c r="C1572" s="4"/>
      <c r="F1572" s="46"/>
      <c r="G1572" s="164"/>
    </row>
    <row r="1573" spans="3:7" customFormat="1" x14ac:dyDescent="0.2">
      <c r="C1573" s="4"/>
      <c r="F1573" s="46"/>
      <c r="G1573" s="164"/>
    </row>
    <row r="1574" spans="3:7" customFormat="1" x14ac:dyDescent="0.2">
      <c r="C1574" s="4"/>
      <c r="F1574" s="46"/>
      <c r="G1574" s="164"/>
    </row>
    <row r="1575" spans="3:7" customFormat="1" x14ac:dyDescent="0.2">
      <c r="C1575" s="4"/>
      <c r="F1575" s="46"/>
      <c r="G1575" s="164"/>
    </row>
    <row r="1576" spans="3:7" customFormat="1" x14ac:dyDescent="0.2">
      <c r="C1576" s="4"/>
      <c r="F1576" s="46"/>
      <c r="G1576" s="164"/>
    </row>
    <row r="1577" spans="3:7" customFormat="1" x14ac:dyDescent="0.2">
      <c r="C1577" s="4"/>
      <c r="F1577" s="46"/>
      <c r="G1577" s="164"/>
    </row>
    <row r="1578" spans="3:7" customFormat="1" x14ac:dyDescent="0.2">
      <c r="C1578" s="4"/>
      <c r="F1578" s="46"/>
      <c r="G1578" s="164"/>
    </row>
    <row r="1579" spans="3:7" customFormat="1" x14ac:dyDescent="0.2">
      <c r="C1579" s="4"/>
      <c r="F1579" s="46"/>
      <c r="G1579" s="164"/>
    </row>
    <row r="1580" spans="3:7" customFormat="1" x14ac:dyDescent="0.2">
      <c r="C1580" s="4"/>
      <c r="F1580" s="46"/>
      <c r="G1580" s="164"/>
    </row>
    <row r="1581" spans="3:7" customFormat="1" x14ac:dyDescent="0.2">
      <c r="C1581" s="4"/>
      <c r="F1581" s="46"/>
      <c r="G1581" s="164"/>
    </row>
    <row r="1582" spans="3:7" customFormat="1" x14ac:dyDescent="0.2">
      <c r="C1582" s="4"/>
      <c r="F1582" s="46"/>
      <c r="G1582" s="164"/>
    </row>
    <row r="1583" spans="3:7" customFormat="1" x14ac:dyDescent="0.2">
      <c r="C1583" s="4"/>
      <c r="F1583" s="46"/>
      <c r="G1583" s="164"/>
    </row>
    <row r="1584" spans="3:7" customFormat="1" x14ac:dyDescent="0.2">
      <c r="C1584" s="4"/>
      <c r="F1584" s="46"/>
      <c r="G1584" s="164"/>
    </row>
    <row r="1585" spans="3:7" customFormat="1" x14ac:dyDescent="0.2">
      <c r="C1585" s="4"/>
      <c r="F1585" s="46"/>
      <c r="G1585" s="164"/>
    </row>
    <row r="1586" spans="3:7" customFormat="1" x14ac:dyDescent="0.2">
      <c r="C1586" s="4"/>
      <c r="F1586" s="46"/>
      <c r="G1586" s="164"/>
    </row>
    <row r="1587" spans="3:7" customFormat="1" x14ac:dyDescent="0.2">
      <c r="C1587" s="4"/>
      <c r="F1587" s="46"/>
      <c r="G1587" s="164"/>
    </row>
    <row r="1588" spans="3:7" customFormat="1" x14ac:dyDescent="0.2">
      <c r="C1588" s="4"/>
      <c r="F1588" s="46"/>
      <c r="G1588" s="164"/>
    </row>
    <row r="1589" spans="3:7" customFormat="1" x14ac:dyDescent="0.2">
      <c r="C1589" s="4"/>
      <c r="F1589" s="46"/>
      <c r="G1589" s="164"/>
    </row>
    <row r="1590" spans="3:7" customFormat="1" x14ac:dyDescent="0.2">
      <c r="C1590" s="4"/>
      <c r="F1590" s="46"/>
      <c r="G1590" s="164"/>
    </row>
    <row r="1591" spans="3:7" customFormat="1" x14ac:dyDescent="0.2">
      <c r="C1591" s="4"/>
      <c r="F1591" s="46"/>
      <c r="G1591" s="164"/>
    </row>
    <row r="1592" spans="3:7" customFormat="1" x14ac:dyDescent="0.2">
      <c r="C1592" s="4"/>
      <c r="F1592" s="46"/>
      <c r="G1592" s="164"/>
    </row>
    <row r="1593" spans="3:7" customFormat="1" x14ac:dyDescent="0.2">
      <c r="C1593" s="4"/>
      <c r="F1593" s="46"/>
      <c r="G1593" s="164"/>
    </row>
    <row r="1594" spans="3:7" customFormat="1" x14ac:dyDescent="0.2">
      <c r="C1594" s="4"/>
      <c r="F1594" s="46"/>
      <c r="G1594" s="164"/>
    </row>
    <row r="1595" spans="3:7" customFormat="1" x14ac:dyDescent="0.2">
      <c r="C1595" s="4"/>
      <c r="F1595" s="46"/>
      <c r="G1595" s="164"/>
    </row>
    <row r="1596" spans="3:7" customFormat="1" x14ac:dyDescent="0.2">
      <c r="C1596" s="4"/>
      <c r="F1596" s="46"/>
      <c r="G1596" s="164"/>
    </row>
    <row r="1597" spans="3:7" customFormat="1" x14ac:dyDescent="0.2">
      <c r="C1597" s="4"/>
      <c r="F1597" s="46"/>
      <c r="G1597" s="164"/>
    </row>
    <row r="1598" spans="3:7" customFormat="1" x14ac:dyDescent="0.2">
      <c r="C1598" s="4"/>
      <c r="F1598" s="46"/>
      <c r="G1598" s="164"/>
    </row>
    <row r="1599" spans="3:7" customFormat="1" x14ac:dyDescent="0.2">
      <c r="C1599" s="4"/>
      <c r="F1599" s="46"/>
      <c r="G1599" s="164"/>
    </row>
    <row r="1600" spans="3:7" customFormat="1" x14ac:dyDescent="0.2">
      <c r="C1600" s="4"/>
      <c r="F1600" s="46"/>
      <c r="G1600" s="164"/>
    </row>
    <row r="1601" spans="3:7" customFormat="1" x14ac:dyDescent="0.2">
      <c r="C1601" s="4"/>
      <c r="F1601" s="46"/>
      <c r="G1601" s="164"/>
    </row>
    <row r="1602" spans="3:7" customFormat="1" x14ac:dyDescent="0.2">
      <c r="C1602" s="4"/>
      <c r="F1602" s="46"/>
      <c r="G1602" s="164"/>
    </row>
    <row r="1603" spans="3:7" customFormat="1" x14ac:dyDescent="0.2">
      <c r="C1603" s="4"/>
      <c r="F1603" s="46"/>
      <c r="G1603" s="164"/>
    </row>
    <row r="1604" spans="3:7" customFormat="1" x14ac:dyDescent="0.2">
      <c r="C1604" s="4"/>
      <c r="F1604" s="46"/>
      <c r="G1604" s="164"/>
    </row>
    <row r="1605" spans="3:7" customFormat="1" x14ac:dyDescent="0.2">
      <c r="C1605" s="4"/>
      <c r="F1605" s="46"/>
      <c r="G1605" s="164"/>
    </row>
    <row r="1606" spans="3:7" customFormat="1" x14ac:dyDescent="0.2">
      <c r="C1606" s="4"/>
      <c r="F1606" s="46"/>
      <c r="G1606" s="164"/>
    </row>
    <row r="1607" spans="3:7" customFormat="1" x14ac:dyDescent="0.2">
      <c r="C1607" s="4"/>
      <c r="F1607" s="46"/>
      <c r="G1607" s="164"/>
    </row>
    <row r="1608" spans="3:7" customFormat="1" x14ac:dyDescent="0.2">
      <c r="C1608" s="4"/>
      <c r="F1608" s="46"/>
      <c r="G1608" s="164"/>
    </row>
    <row r="1609" spans="3:7" customFormat="1" x14ac:dyDescent="0.2">
      <c r="C1609" s="4"/>
      <c r="F1609" s="46"/>
      <c r="G1609" s="164"/>
    </row>
    <row r="1610" spans="3:7" customFormat="1" x14ac:dyDescent="0.2">
      <c r="C1610" s="4"/>
      <c r="F1610" s="46"/>
      <c r="G1610" s="164"/>
    </row>
    <row r="1611" spans="3:7" customFormat="1" x14ac:dyDescent="0.2">
      <c r="C1611" s="4"/>
      <c r="F1611" s="46"/>
      <c r="G1611" s="164"/>
    </row>
    <row r="1612" spans="3:7" customFormat="1" x14ac:dyDescent="0.2">
      <c r="C1612" s="4"/>
      <c r="F1612" s="46"/>
      <c r="G1612" s="164"/>
    </row>
    <row r="1613" spans="3:7" customFormat="1" x14ac:dyDescent="0.2">
      <c r="C1613" s="4"/>
      <c r="F1613" s="46"/>
      <c r="G1613" s="164"/>
    </row>
    <row r="1614" spans="3:7" customFormat="1" x14ac:dyDescent="0.2">
      <c r="C1614" s="4"/>
      <c r="F1614" s="46"/>
      <c r="G1614" s="164"/>
    </row>
    <row r="1615" spans="3:7" customFormat="1" x14ac:dyDescent="0.2">
      <c r="C1615" s="4"/>
      <c r="F1615" s="46"/>
      <c r="G1615" s="164"/>
    </row>
    <row r="1616" spans="3:7" customFormat="1" x14ac:dyDescent="0.2">
      <c r="C1616" s="4"/>
      <c r="F1616" s="46"/>
      <c r="G1616" s="164"/>
    </row>
    <row r="1617" spans="3:7" customFormat="1" x14ac:dyDescent="0.2">
      <c r="C1617" s="4"/>
      <c r="F1617" s="46"/>
      <c r="G1617" s="164"/>
    </row>
    <row r="1618" spans="3:7" customFormat="1" x14ac:dyDescent="0.2">
      <c r="C1618" s="4"/>
      <c r="F1618" s="46"/>
      <c r="G1618" s="164"/>
    </row>
    <row r="1619" spans="3:7" customFormat="1" x14ac:dyDescent="0.2">
      <c r="C1619" s="4"/>
      <c r="F1619" s="46"/>
      <c r="G1619" s="164"/>
    </row>
    <row r="1620" spans="3:7" customFormat="1" x14ac:dyDescent="0.2">
      <c r="C1620" s="4"/>
      <c r="F1620" s="46"/>
      <c r="G1620" s="164"/>
    </row>
    <row r="1621" spans="3:7" customFormat="1" x14ac:dyDescent="0.2">
      <c r="C1621" s="4"/>
      <c r="F1621" s="46"/>
      <c r="G1621" s="164"/>
    </row>
    <row r="1622" spans="3:7" customFormat="1" x14ac:dyDescent="0.2">
      <c r="C1622" s="4"/>
      <c r="F1622" s="46"/>
      <c r="G1622" s="164"/>
    </row>
    <row r="1623" spans="3:7" customFormat="1" x14ac:dyDescent="0.2">
      <c r="C1623" s="4"/>
      <c r="F1623" s="46"/>
      <c r="G1623" s="164"/>
    </row>
    <row r="1624" spans="3:7" customFormat="1" x14ac:dyDescent="0.2">
      <c r="C1624" s="4"/>
      <c r="F1624" s="46"/>
      <c r="G1624" s="164"/>
    </row>
    <row r="1625" spans="3:7" customFormat="1" x14ac:dyDescent="0.2">
      <c r="C1625" s="4"/>
      <c r="F1625" s="46"/>
      <c r="G1625" s="164"/>
    </row>
    <row r="1626" spans="3:7" customFormat="1" x14ac:dyDescent="0.2">
      <c r="C1626" s="4"/>
      <c r="F1626" s="46"/>
      <c r="G1626" s="164"/>
    </row>
    <row r="1627" spans="3:7" customFormat="1" x14ac:dyDescent="0.2">
      <c r="C1627" s="4"/>
      <c r="F1627" s="46"/>
      <c r="G1627" s="164"/>
    </row>
    <row r="1628" spans="3:7" customFormat="1" x14ac:dyDescent="0.2">
      <c r="C1628" s="4"/>
      <c r="F1628" s="46"/>
      <c r="G1628" s="164"/>
    </row>
    <row r="1629" spans="3:7" customFormat="1" x14ac:dyDescent="0.2">
      <c r="C1629" s="4"/>
      <c r="F1629" s="46"/>
      <c r="G1629" s="164"/>
    </row>
    <row r="1630" spans="3:7" customFormat="1" x14ac:dyDescent="0.2">
      <c r="C1630" s="4"/>
      <c r="F1630" s="46"/>
      <c r="G1630" s="164"/>
    </row>
    <row r="1631" spans="3:7" customFormat="1" x14ac:dyDescent="0.2">
      <c r="C1631" s="4"/>
      <c r="F1631" s="46"/>
      <c r="G1631" s="164"/>
    </row>
    <row r="1632" spans="3:7" customFormat="1" x14ac:dyDescent="0.2">
      <c r="C1632" s="4"/>
      <c r="F1632" s="46"/>
      <c r="G1632" s="164"/>
    </row>
    <row r="1633" spans="3:7" customFormat="1" x14ac:dyDescent="0.2">
      <c r="C1633" s="3"/>
      <c r="F1633" s="46"/>
      <c r="G1633" s="164"/>
    </row>
    <row r="1634" spans="3:7" customFormat="1" x14ac:dyDescent="0.2">
      <c r="C1634" s="9"/>
      <c r="F1634" s="46"/>
      <c r="G1634" s="164"/>
    </row>
    <row r="1635" spans="3:7" customFormat="1" x14ac:dyDescent="0.2">
      <c r="C1635" s="9"/>
      <c r="F1635" s="46"/>
      <c r="G1635" s="164"/>
    </row>
    <row r="1636" spans="3:7" customFormat="1" x14ac:dyDescent="0.2">
      <c r="C1636" s="9"/>
      <c r="F1636" s="46"/>
      <c r="G1636" s="164"/>
    </row>
    <row r="1637" spans="3:7" customFormat="1" x14ac:dyDescent="0.2">
      <c r="C1637" s="4"/>
      <c r="F1637" s="46"/>
      <c r="G1637" s="164"/>
    </row>
    <row r="1638" spans="3:7" customFormat="1" x14ac:dyDescent="0.2">
      <c r="C1638" s="4"/>
      <c r="F1638" s="46"/>
      <c r="G1638" s="164"/>
    </row>
    <row r="1639" spans="3:7" customFormat="1" x14ac:dyDescent="0.2">
      <c r="C1639" s="4"/>
      <c r="F1639" s="46"/>
      <c r="G1639" s="164"/>
    </row>
    <row r="1640" spans="3:7" customFormat="1" x14ac:dyDescent="0.2">
      <c r="C1640" s="4"/>
      <c r="F1640" s="46"/>
      <c r="G1640" s="164"/>
    </row>
    <row r="1641" spans="3:7" customFormat="1" x14ac:dyDescent="0.2">
      <c r="C1641" s="4"/>
      <c r="F1641" s="46"/>
      <c r="G1641" s="164"/>
    </row>
    <row r="1642" spans="3:7" customFormat="1" x14ac:dyDescent="0.2">
      <c r="C1642" s="4"/>
      <c r="F1642" s="46"/>
      <c r="G1642" s="164"/>
    </row>
    <row r="1643" spans="3:7" customFormat="1" x14ac:dyDescent="0.2">
      <c r="C1643" s="4"/>
      <c r="F1643" s="46"/>
      <c r="G1643" s="164"/>
    </row>
    <row r="1644" spans="3:7" customFormat="1" x14ac:dyDescent="0.2">
      <c r="C1644" s="4"/>
      <c r="F1644" s="46"/>
      <c r="G1644" s="164"/>
    </row>
    <row r="1645" spans="3:7" customFormat="1" x14ac:dyDescent="0.2">
      <c r="C1645" s="4"/>
      <c r="F1645" s="46"/>
      <c r="G1645" s="164"/>
    </row>
    <row r="1646" spans="3:7" customFormat="1" x14ac:dyDescent="0.2">
      <c r="C1646" s="4"/>
      <c r="F1646" s="46"/>
      <c r="G1646" s="164"/>
    </row>
    <row r="1647" spans="3:7" customFormat="1" x14ac:dyDescent="0.2">
      <c r="C1647" s="4"/>
      <c r="F1647" s="46"/>
      <c r="G1647" s="164"/>
    </row>
    <row r="1648" spans="3:7" customFormat="1" x14ac:dyDescent="0.2">
      <c r="C1648" s="4"/>
      <c r="F1648" s="46"/>
      <c r="G1648" s="164"/>
    </row>
    <row r="1649" spans="3:7" customFormat="1" x14ac:dyDescent="0.2">
      <c r="C1649" s="4"/>
      <c r="F1649" s="46"/>
      <c r="G1649" s="164"/>
    </row>
    <row r="1650" spans="3:7" customFormat="1" x14ac:dyDescent="0.2">
      <c r="C1650" s="4"/>
      <c r="F1650" s="46"/>
      <c r="G1650" s="164"/>
    </row>
    <row r="1651" spans="3:7" customFormat="1" x14ac:dyDescent="0.2">
      <c r="C1651" s="4"/>
      <c r="F1651" s="46"/>
      <c r="G1651" s="164"/>
    </row>
    <row r="1652" spans="3:7" customFormat="1" x14ac:dyDescent="0.2">
      <c r="C1652" s="4"/>
      <c r="F1652" s="46"/>
      <c r="G1652" s="164"/>
    </row>
    <row r="1653" spans="3:7" customFormat="1" x14ac:dyDescent="0.2">
      <c r="C1653" s="4"/>
      <c r="F1653" s="46"/>
      <c r="G1653" s="164"/>
    </row>
    <row r="1654" spans="3:7" customFormat="1" x14ac:dyDescent="0.2">
      <c r="C1654" s="4"/>
      <c r="F1654" s="46"/>
      <c r="G1654" s="164"/>
    </row>
    <row r="1655" spans="3:7" customFormat="1" x14ac:dyDescent="0.2">
      <c r="C1655" s="4"/>
      <c r="F1655" s="46"/>
      <c r="G1655" s="164"/>
    </row>
    <row r="1656" spans="3:7" customFormat="1" x14ac:dyDescent="0.2">
      <c r="C1656" s="4"/>
      <c r="F1656" s="46"/>
      <c r="G1656" s="164"/>
    </row>
    <row r="1657" spans="3:7" customFormat="1" x14ac:dyDescent="0.2">
      <c r="C1657" s="4"/>
      <c r="F1657" s="46"/>
      <c r="G1657" s="164"/>
    </row>
    <row r="1658" spans="3:7" customFormat="1" x14ac:dyDescent="0.2">
      <c r="C1658" s="4"/>
      <c r="F1658" s="46"/>
      <c r="G1658" s="164"/>
    </row>
    <row r="1659" spans="3:7" customFormat="1" x14ac:dyDescent="0.2">
      <c r="C1659" s="4"/>
      <c r="F1659" s="46"/>
      <c r="G1659" s="164"/>
    </row>
    <row r="1660" spans="3:7" customFormat="1" x14ac:dyDescent="0.2">
      <c r="C1660" s="4"/>
      <c r="F1660" s="46"/>
      <c r="G1660" s="164"/>
    </row>
    <row r="1661" spans="3:7" customFormat="1" x14ac:dyDescent="0.2">
      <c r="C1661" s="4"/>
      <c r="F1661" s="46"/>
      <c r="G1661" s="164"/>
    </row>
    <row r="1662" spans="3:7" customFormat="1" x14ac:dyDescent="0.2">
      <c r="C1662" s="4"/>
      <c r="F1662" s="46"/>
      <c r="G1662" s="164"/>
    </row>
    <row r="1663" spans="3:7" customFormat="1" x14ac:dyDescent="0.2">
      <c r="C1663" s="4"/>
      <c r="F1663" s="46"/>
      <c r="G1663" s="164"/>
    </row>
    <row r="1664" spans="3:7" customFormat="1" x14ac:dyDescent="0.2">
      <c r="C1664" s="4"/>
      <c r="F1664" s="46"/>
      <c r="G1664" s="164"/>
    </row>
    <row r="1665" spans="3:7" customFormat="1" x14ac:dyDescent="0.2">
      <c r="C1665" s="4"/>
      <c r="F1665" s="46"/>
      <c r="G1665" s="164"/>
    </row>
    <row r="1666" spans="3:7" customFormat="1" x14ac:dyDescent="0.2">
      <c r="C1666" s="4"/>
      <c r="F1666" s="46"/>
      <c r="G1666" s="164"/>
    </row>
    <row r="1667" spans="3:7" customFormat="1" x14ac:dyDescent="0.2">
      <c r="C1667" s="4"/>
      <c r="F1667" s="46"/>
      <c r="G1667" s="164"/>
    </row>
    <row r="1668" spans="3:7" customFormat="1" x14ac:dyDescent="0.2">
      <c r="C1668" s="4"/>
      <c r="F1668" s="46"/>
      <c r="G1668" s="164"/>
    </row>
    <row r="1669" spans="3:7" customFormat="1" x14ac:dyDescent="0.2">
      <c r="C1669" s="4"/>
      <c r="F1669" s="46"/>
      <c r="G1669" s="164"/>
    </row>
    <row r="1670" spans="3:7" customFormat="1" x14ac:dyDescent="0.2">
      <c r="C1670" s="4"/>
      <c r="F1670" s="46"/>
      <c r="G1670" s="164"/>
    </row>
    <row r="1671" spans="3:7" customFormat="1" x14ac:dyDescent="0.2">
      <c r="C1671" s="4"/>
      <c r="F1671" s="46"/>
      <c r="G1671" s="164"/>
    </row>
    <row r="1672" spans="3:7" customFormat="1" x14ac:dyDescent="0.2">
      <c r="C1672" s="4"/>
      <c r="F1672" s="46"/>
      <c r="G1672" s="164"/>
    </row>
    <row r="1673" spans="3:7" customFormat="1" x14ac:dyDescent="0.2">
      <c r="C1673" s="4"/>
      <c r="F1673" s="46"/>
      <c r="G1673" s="164"/>
    </row>
    <row r="1674" spans="3:7" customFormat="1" x14ac:dyDescent="0.2">
      <c r="C1674" s="4"/>
      <c r="F1674" s="46"/>
      <c r="G1674" s="164"/>
    </row>
    <row r="1675" spans="3:7" customFormat="1" x14ac:dyDescent="0.2">
      <c r="C1675" s="4"/>
      <c r="F1675" s="46"/>
      <c r="G1675" s="164"/>
    </row>
    <row r="1676" spans="3:7" customFormat="1" x14ac:dyDescent="0.2">
      <c r="C1676" s="4"/>
      <c r="F1676" s="46"/>
      <c r="G1676" s="164"/>
    </row>
    <row r="1677" spans="3:7" customFormat="1" x14ac:dyDescent="0.2">
      <c r="C1677" s="4"/>
      <c r="F1677" s="46"/>
      <c r="G1677" s="164"/>
    </row>
    <row r="1678" spans="3:7" customFormat="1" x14ac:dyDescent="0.2">
      <c r="C1678" s="4"/>
      <c r="F1678" s="46"/>
      <c r="G1678" s="164"/>
    </row>
    <row r="1679" spans="3:7" customFormat="1" x14ac:dyDescent="0.2">
      <c r="C1679" s="4"/>
      <c r="F1679" s="46"/>
      <c r="G1679" s="164"/>
    </row>
    <row r="1680" spans="3:7" customFormat="1" x14ac:dyDescent="0.2">
      <c r="C1680" s="4"/>
      <c r="F1680" s="46"/>
      <c r="G1680" s="164"/>
    </row>
    <row r="1681" spans="3:7" customFormat="1" x14ac:dyDescent="0.2">
      <c r="C1681" s="4"/>
      <c r="F1681" s="46"/>
      <c r="G1681" s="164"/>
    </row>
    <row r="1682" spans="3:7" customFormat="1" x14ac:dyDescent="0.2">
      <c r="C1682" s="4"/>
      <c r="F1682" s="46"/>
      <c r="G1682" s="164"/>
    </row>
    <row r="1683" spans="3:7" customFormat="1" x14ac:dyDescent="0.2">
      <c r="C1683" s="4"/>
      <c r="F1683" s="46"/>
      <c r="G1683" s="164"/>
    </row>
    <row r="1684" spans="3:7" customFormat="1" x14ac:dyDescent="0.2">
      <c r="C1684" s="11"/>
      <c r="F1684" s="46"/>
      <c r="G1684" s="164"/>
    </row>
    <row r="1685" spans="3:7" customFormat="1" x14ac:dyDescent="0.2">
      <c r="C1685" s="4"/>
      <c r="F1685" s="46"/>
      <c r="G1685" s="164"/>
    </row>
    <row r="1686" spans="3:7" customFormat="1" x14ac:dyDescent="0.2">
      <c r="C1686" s="4"/>
      <c r="F1686" s="46"/>
      <c r="G1686" s="164"/>
    </row>
    <row r="1687" spans="3:7" customFormat="1" x14ac:dyDescent="0.2">
      <c r="C1687" s="4"/>
      <c r="F1687" s="46"/>
      <c r="G1687" s="164"/>
    </row>
    <row r="1688" spans="3:7" customFormat="1" x14ac:dyDescent="0.2">
      <c r="C1688" s="4"/>
      <c r="F1688" s="46"/>
      <c r="G1688" s="164"/>
    </row>
    <row r="1689" spans="3:7" customFormat="1" x14ac:dyDescent="0.2">
      <c r="C1689" s="4"/>
      <c r="F1689" s="46"/>
      <c r="G1689" s="164"/>
    </row>
    <row r="1690" spans="3:7" customFormat="1" x14ac:dyDescent="0.2">
      <c r="C1690" s="4"/>
      <c r="F1690" s="46"/>
      <c r="G1690" s="164"/>
    </row>
    <row r="1691" spans="3:7" customFormat="1" x14ac:dyDescent="0.2">
      <c r="C1691" s="4"/>
      <c r="F1691" s="46"/>
      <c r="G1691" s="164"/>
    </row>
    <row r="1692" spans="3:7" customFormat="1" x14ac:dyDescent="0.2">
      <c r="C1692" s="4"/>
      <c r="F1692" s="46"/>
      <c r="G1692" s="164"/>
    </row>
    <row r="1693" spans="3:7" customFormat="1" x14ac:dyDescent="0.2">
      <c r="C1693" s="4"/>
      <c r="F1693" s="46"/>
      <c r="G1693" s="164"/>
    </row>
    <row r="1694" spans="3:7" customFormat="1" x14ac:dyDescent="0.2">
      <c r="C1694" s="11"/>
      <c r="F1694" s="46"/>
      <c r="G1694" s="164"/>
    </row>
    <row r="1695" spans="3:7" customFormat="1" x14ac:dyDescent="0.2">
      <c r="C1695" s="11"/>
      <c r="F1695" s="46"/>
      <c r="G1695" s="164"/>
    </row>
    <row r="1696" spans="3:7" customFormat="1" x14ac:dyDescent="0.2">
      <c r="C1696" s="11"/>
      <c r="F1696" s="46"/>
      <c r="G1696" s="164"/>
    </row>
    <row r="1697" spans="3:7" customFormat="1" x14ac:dyDescent="0.2">
      <c r="C1697" s="11"/>
      <c r="F1697" s="46"/>
      <c r="G1697" s="164"/>
    </row>
    <row r="1698" spans="3:7" customFormat="1" x14ac:dyDescent="0.2">
      <c r="C1698" s="4"/>
      <c r="F1698" s="46"/>
      <c r="G1698" s="164"/>
    </row>
    <row r="1699" spans="3:7" customFormat="1" x14ac:dyDescent="0.2">
      <c r="C1699" s="11"/>
      <c r="F1699" s="46"/>
      <c r="G1699" s="164"/>
    </row>
    <row r="1700" spans="3:7" customFormat="1" x14ac:dyDescent="0.2">
      <c r="C1700" s="11"/>
      <c r="F1700" s="46"/>
      <c r="G1700" s="164"/>
    </row>
    <row r="1701" spans="3:7" customFormat="1" x14ac:dyDescent="0.2">
      <c r="C1701" s="11"/>
      <c r="F1701" s="46"/>
      <c r="G1701" s="164"/>
    </row>
    <row r="1702" spans="3:7" customFormat="1" x14ac:dyDescent="0.2">
      <c r="C1702" s="11"/>
      <c r="F1702" s="46"/>
      <c r="G1702" s="164"/>
    </row>
    <row r="1703" spans="3:7" customFormat="1" x14ac:dyDescent="0.2">
      <c r="C1703" s="4"/>
      <c r="F1703" s="46"/>
      <c r="G1703" s="164"/>
    </row>
    <row r="1704" spans="3:7" customFormat="1" x14ac:dyDescent="0.2">
      <c r="C1704" s="11"/>
      <c r="F1704" s="46"/>
      <c r="G1704" s="164"/>
    </row>
    <row r="1705" spans="3:7" customFormat="1" x14ac:dyDescent="0.2">
      <c r="C1705" s="11"/>
      <c r="F1705" s="46"/>
      <c r="G1705" s="164"/>
    </row>
    <row r="1706" spans="3:7" customFormat="1" x14ac:dyDescent="0.2">
      <c r="C1706" s="117"/>
      <c r="F1706" s="46"/>
      <c r="G1706" s="164"/>
    </row>
    <row r="1707" spans="3:7" customFormat="1" x14ac:dyDescent="0.2">
      <c r="C1707" s="12"/>
      <c r="F1707" s="46"/>
      <c r="G1707" s="164"/>
    </row>
    <row r="1708" spans="3:7" customFormat="1" x14ac:dyDescent="0.2">
      <c r="C1708" s="4"/>
      <c r="F1708" s="46"/>
      <c r="G1708" s="164"/>
    </row>
    <row r="1709" spans="3:7" customFormat="1" x14ac:dyDescent="0.2">
      <c r="C1709" s="9"/>
      <c r="F1709" s="46"/>
      <c r="G1709" s="164"/>
    </row>
    <row r="1710" spans="3:7" customFormat="1" x14ac:dyDescent="0.2">
      <c r="C1710" s="4"/>
      <c r="F1710" s="46"/>
      <c r="G1710" s="164"/>
    </row>
    <row r="1711" spans="3:7" customFormat="1" x14ac:dyDescent="0.2">
      <c r="C1711" s="4"/>
      <c r="F1711" s="46"/>
      <c r="G1711" s="164"/>
    </row>
    <row r="1712" spans="3:7" customFormat="1" x14ac:dyDescent="0.2">
      <c r="C1712" s="4"/>
      <c r="F1712" s="46"/>
      <c r="G1712" s="164"/>
    </row>
    <row r="1713" spans="3:7" customFormat="1" x14ac:dyDescent="0.2">
      <c r="C1713" s="4"/>
      <c r="F1713" s="46"/>
      <c r="G1713" s="164"/>
    </row>
    <row r="1714" spans="3:7" customFormat="1" x14ac:dyDescent="0.2">
      <c r="C1714" s="4"/>
      <c r="F1714" s="46"/>
      <c r="G1714" s="164"/>
    </row>
    <row r="1715" spans="3:7" customFormat="1" x14ac:dyDescent="0.2">
      <c r="C1715" s="4"/>
      <c r="F1715" s="46"/>
      <c r="G1715" s="164"/>
    </row>
    <row r="1716" spans="3:7" customFormat="1" x14ac:dyDescent="0.2">
      <c r="C1716" s="4"/>
      <c r="F1716" s="46"/>
      <c r="G1716" s="164"/>
    </row>
    <row r="1717" spans="3:7" customFormat="1" x14ac:dyDescent="0.2">
      <c r="C1717" s="4"/>
      <c r="F1717" s="46"/>
      <c r="G1717" s="164"/>
    </row>
    <row r="1718" spans="3:7" customFormat="1" x14ac:dyDescent="0.2">
      <c r="C1718" s="4"/>
      <c r="F1718" s="46"/>
      <c r="G1718" s="164"/>
    </row>
    <row r="1719" spans="3:7" customFormat="1" x14ac:dyDescent="0.2">
      <c r="C1719" s="4"/>
      <c r="F1719" s="46"/>
      <c r="G1719" s="164"/>
    </row>
    <row r="1720" spans="3:7" customFormat="1" x14ac:dyDescent="0.2">
      <c r="C1720" s="4"/>
      <c r="F1720" s="46"/>
      <c r="G1720" s="164"/>
    </row>
    <row r="1721" spans="3:7" customFormat="1" x14ac:dyDescent="0.2">
      <c r="C1721" s="18"/>
      <c r="F1721" s="46"/>
      <c r="G1721" s="164"/>
    </row>
    <row r="1722" spans="3:7" customFormat="1" x14ac:dyDescent="0.2">
      <c r="C1722" s="4"/>
      <c r="F1722" s="46"/>
      <c r="G1722" s="164"/>
    </row>
    <row r="1723" spans="3:7" customFormat="1" x14ac:dyDescent="0.2">
      <c r="C1723" s="4"/>
      <c r="F1723" s="46"/>
      <c r="G1723" s="164"/>
    </row>
    <row r="1724" spans="3:7" customFormat="1" x14ac:dyDescent="0.2">
      <c r="C1724" s="4"/>
      <c r="F1724" s="46"/>
      <c r="G1724" s="164"/>
    </row>
    <row r="1725" spans="3:7" customFormat="1" x14ac:dyDescent="0.2">
      <c r="C1725" s="4"/>
      <c r="F1725" s="46"/>
      <c r="G1725" s="164"/>
    </row>
    <row r="1726" spans="3:7" customFormat="1" x14ac:dyDescent="0.2">
      <c r="C1726" s="4"/>
      <c r="F1726" s="46"/>
      <c r="G1726" s="164"/>
    </row>
    <row r="1727" spans="3:7" customFormat="1" x14ac:dyDescent="0.2">
      <c r="C1727" s="4"/>
      <c r="F1727" s="46"/>
      <c r="G1727" s="164"/>
    </row>
    <row r="1728" spans="3:7" customFormat="1" x14ac:dyDescent="0.2">
      <c r="C1728" s="4"/>
      <c r="F1728" s="46"/>
      <c r="G1728" s="164"/>
    </row>
    <row r="1729" spans="3:7" customFormat="1" x14ac:dyDescent="0.2">
      <c r="C1729" s="4"/>
      <c r="F1729" s="46"/>
      <c r="G1729" s="164"/>
    </row>
    <row r="1730" spans="3:7" customFormat="1" x14ac:dyDescent="0.2">
      <c r="C1730" s="4"/>
      <c r="F1730" s="46"/>
      <c r="G1730" s="164"/>
    </row>
    <row r="1731" spans="3:7" customFormat="1" x14ac:dyDescent="0.2">
      <c r="C1731" s="4"/>
      <c r="F1731" s="46"/>
      <c r="G1731" s="164"/>
    </row>
    <row r="1732" spans="3:7" customFormat="1" x14ac:dyDescent="0.2">
      <c r="C1732" s="4"/>
      <c r="F1732" s="46"/>
      <c r="G1732" s="164"/>
    </row>
    <row r="1733" spans="3:7" customFormat="1" x14ac:dyDescent="0.2">
      <c r="C1733" s="4"/>
      <c r="F1733" s="46"/>
      <c r="G1733" s="164"/>
    </row>
    <row r="1734" spans="3:7" customFormat="1" x14ac:dyDescent="0.2">
      <c r="C1734" s="4"/>
      <c r="F1734" s="46"/>
      <c r="G1734" s="164"/>
    </row>
    <row r="1735" spans="3:7" customFormat="1" x14ac:dyDescent="0.2">
      <c r="C1735" s="4"/>
      <c r="F1735" s="46"/>
      <c r="G1735" s="164"/>
    </row>
    <row r="1736" spans="3:7" customFormat="1" x14ac:dyDescent="0.2">
      <c r="C1736" s="4"/>
      <c r="F1736" s="46"/>
      <c r="G1736" s="164"/>
    </row>
    <row r="1737" spans="3:7" customFormat="1" x14ac:dyDescent="0.2">
      <c r="C1737" s="4"/>
      <c r="F1737" s="46"/>
      <c r="G1737" s="164"/>
    </row>
    <row r="1738" spans="3:7" customFormat="1" x14ac:dyDescent="0.2">
      <c r="C1738" s="4"/>
      <c r="F1738" s="46"/>
      <c r="G1738" s="164"/>
    </row>
    <row r="1739" spans="3:7" customFormat="1" x14ac:dyDescent="0.2">
      <c r="C1739" s="4"/>
      <c r="F1739" s="46"/>
      <c r="G1739" s="164"/>
    </row>
    <row r="1740" spans="3:7" customFormat="1" x14ac:dyDescent="0.2">
      <c r="C1740" s="4"/>
      <c r="F1740" s="46"/>
      <c r="G1740" s="164"/>
    </row>
    <row r="1741" spans="3:7" customFormat="1" x14ac:dyDescent="0.2">
      <c r="C1741" s="4"/>
      <c r="F1741" s="46"/>
      <c r="G1741" s="164"/>
    </row>
    <row r="1742" spans="3:7" customFormat="1" x14ac:dyDescent="0.2">
      <c r="C1742" s="4"/>
      <c r="F1742" s="46"/>
      <c r="G1742" s="164"/>
    </row>
    <row r="1743" spans="3:7" customFormat="1" x14ac:dyDescent="0.2">
      <c r="C1743" s="4"/>
      <c r="F1743" s="46"/>
      <c r="G1743" s="164"/>
    </row>
    <row r="1744" spans="3:7" customFormat="1" x14ac:dyDescent="0.2">
      <c r="C1744" s="4"/>
      <c r="F1744" s="46"/>
      <c r="G1744" s="164"/>
    </row>
    <row r="1745" spans="3:7" customFormat="1" x14ac:dyDescent="0.2">
      <c r="C1745" s="4"/>
      <c r="F1745" s="46"/>
      <c r="G1745" s="164"/>
    </row>
    <row r="1746" spans="3:7" customFormat="1" x14ac:dyDescent="0.2">
      <c r="C1746" s="4"/>
      <c r="F1746" s="46"/>
      <c r="G1746" s="164"/>
    </row>
    <row r="1747" spans="3:7" customFormat="1" x14ac:dyDescent="0.2">
      <c r="C1747" s="4"/>
      <c r="F1747" s="46"/>
      <c r="G1747" s="164"/>
    </row>
    <row r="1748" spans="3:7" customFormat="1" x14ac:dyDescent="0.2">
      <c r="C1748" s="4"/>
      <c r="F1748" s="46"/>
      <c r="G1748" s="164"/>
    </row>
    <row r="1749" spans="3:7" customFormat="1" x14ac:dyDescent="0.2">
      <c r="C1749" s="4"/>
      <c r="F1749" s="46"/>
      <c r="G1749" s="164"/>
    </row>
    <row r="1750" spans="3:7" customFormat="1" x14ac:dyDescent="0.2">
      <c r="C1750" s="4"/>
      <c r="F1750" s="46"/>
      <c r="G1750" s="164"/>
    </row>
    <row r="1751" spans="3:7" customFormat="1" x14ac:dyDescent="0.2">
      <c r="C1751" s="4"/>
      <c r="F1751" s="46"/>
      <c r="G1751" s="164"/>
    </row>
    <row r="1752" spans="3:7" customFormat="1" x14ac:dyDescent="0.2">
      <c r="C1752" s="4"/>
      <c r="F1752" s="46"/>
      <c r="G1752" s="164"/>
    </row>
    <row r="1753" spans="3:7" customFormat="1" x14ac:dyDescent="0.2">
      <c r="C1753" s="4"/>
      <c r="F1753" s="46"/>
      <c r="G1753" s="164"/>
    </row>
    <row r="1754" spans="3:7" customFormat="1" x14ac:dyDescent="0.2">
      <c r="C1754" s="4"/>
      <c r="F1754" s="46"/>
      <c r="G1754" s="164"/>
    </row>
    <row r="1755" spans="3:7" customFormat="1" x14ac:dyDescent="0.2">
      <c r="C1755" s="3"/>
      <c r="F1755" s="46"/>
      <c r="G1755" s="164"/>
    </row>
    <row r="1756" spans="3:7" customFormat="1" x14ac:dyDescent="0.2">
      <c r="C1756" s="5"/>
      <c r="F1756" s="46"/>
      <c r="G1756" s="164"/>
    </row>
    <row r="1757" spans="3:7" customFormat="1" x14ac:dyDescent="0.2">
      <c r="C1757" s="4"/>
      <c r="F1757" s="46"/>
      <c r="G1757" s="164"/>
    </row>
    <row r="1758" spans="3:7" customFormat="1" x14ac:dyDescent="0.2">
      <c r="C1758" s="4"/>
      <c r="F1758" s="46"/>
      <c r="G1758" s="164"/>
    </row>
    <row r="1759" spans="3:7" customFormat="1" x14ac:dyDescent="0.2">
      <c r="C1759" s="4"/>
      <c r="F1759" s="46"/>
      <c r="G1759" s="164"/>
    </row>
    <row r="1760" spans="3:7" customFormat="1" x14ac:dyDescent="0.2">
      <c r="C1760" s="4"/>
      <c r="F1760" s="46"/>
      <c r="G1760" s="164"/>
    </row>
    <row r="1761" spans="3:7" customFormat="1" x14ac:dyDescent="0.2">
      <c r="C1761" s="4"/>
      <c r="F1761" s="46"/>
      <c r="G1761" s="164"/>
    </row>
    <row r="1762" spans="3:7" customFormat="1" x14ac:dyDescent="0.2">
      <c r="C1762" s="4"/>
      <c r="F1762" s="46"/>
      <c r="G1762" s="164"/>
    </row>
    <row r="1763" spans="3:7" customFormat="1" x14ac:dyDescent="0.2">
      <c r="C1763" s="4"/>
      <c r="F1763" s="46"/>
      <c r="G1763" s="164"/>
    </row>
    <row r="1764" spans="3:7" customFormat="1" x14ac:dyDescent="0.2">
      <c r="C1764" s="4"/>
      <c r="F1764" s="46"/>
      <c r="G1764" s="164"/>
    </row>
    <row r="1765" spans="3:7" customFormat="1" x14ac:dyDescent="0.2">
      <c r="C1765" s="4"/>
      <c r="F1765" s="46"/>
      <c r="G1765" s="164"/>
    </row>
    <row r="1766" spans="3:7" customFormat="1" x14ac:dyDescent="0.2">
      <c r="C1766" s="4"/>
      <c r="F1766" s="46"/>
      <c r="G1766" s="164"/>
    </row>
    <row r="1767" spans="3:7" customFormat="1" x14ac:dyDescent="0.2">
      <c r="C1767" s="4"/>
      <c r="F1767" s="46"/>
      <c r="G1767" s="164"/>
    </row>
    <row r="1768" spans="3:7" customFormat="1" x14ac:dyDescent="0.2">
      <c r="C1768" s="4"/>
      <c r="F1768" s="46"/>
      <c r="G1768" s="164"/>
    </row>
    <row r="1769" spans="3:7" customFormat="1" x14ac:dyDescent="0.2">
      <c r="C1769" s="4"/>
      <c r="F1769" s="46"/>
      <c r="G1769" s="164"/>
    </row>
    <row r="1770" spans="3:7" customFormat="1" x14ac:dyDescent="0.2">
      <c r="C1770" s="4"/>
      <c r="F1770" s="46"/>
      <c r="G1770" s="164"/>
    </row>
    <row r="1771" spans="3:7" customFormat="1" x14ac:dyDescent="0.2">
      <c r="C1771" s="4"/>
      <c r="F1771" s="46"/>
      <c r="G1771" s="164"/>
    </row>
    <row r="1772" spans="3:7" customFormat="1" x14ac:dyDescent="0.2">
      <c r="C1772" s="4"/>
      <c r="F1772" s="46"/>
      <c r="G1772" s="164"/>
    </row>
    <row r="1773" spans="3:7" customFormat="1" x14ac:dyDescent="0.2">
      <c r="C1773" s="4"/>
      <c r="F1773" s="46"/>
      <c r="G1773" s="164"/>
    </row>
    <row r="1774" spans="3:7" customFormat="1" x14ac:dyDescent="0.2">
      <c r="C1774" s="4"/>
      <c r="F1774" s="46"/>
      <c r="G1774" s="164"/>
    </row>
    <row r="1775" spans="3:7" customFormat="1" x14ac:dyDescent="0.2">
      <c r="C1775" s="4"/>
      <c r="F1775" s="46"/>
      <c r="G1775" s="164"/>
    </row>
    <row r="1776" spans="3:7" customFormat="1" x14ac:dyDescent="0.2">
      <c r="C1776" s="4"/>
      <c r="F1776" s="46"/>
      <c r="G1776" s="164"/>
    </row>
    <row r="1777" spans="3:7" customFormat="1" x14ac:dyDescent="0.2">
      <c r="C1777" s="4"/>
      <c r="F1777" s="46"/>
      <c r="G1777" s="164"/>
    </row>
    <row r="1778" spans="3:7" customFormat="1" x14ac:dyDescent="0.2">
      <c r="C1778" s="4"/>
      <c r="F1778" s="46"/>
      <c r="G1778" s="164"/>
    </row>
    <row r="1779" spans="3:7" customFormat="1" x14ac:dyDescent="0.2">
      <c r="C1779" s="4"/>
      <c r="F1779" s="46"/>
      <c r="G1779" s="164"/>
    </row>
    <row r="1780" spans="3:7" customFormat="1" x14ac:dyDescent="0.2">
      <c r="C1780" s="4"/>
      <c r="F1780" s="46"/>
      <c r="G1780" s="164"/>
    </row>
    <row r="1781" spans="3:7" customFormat="1" x14ac:dyDescent="0.2">
      <c r="C1781" s="4"/>
      <c r="F1781" s="46"/>
      <c r="G1781" s="164"/>
    </row>
    <row r="1782" spans="3:7" customFormat="1" x14ac:dyDescent="0.2">
      <c r="C1782" s="4"/>
      <c r="F1782" s="46"/>
      <c r="G1782" s="164"/>
    </row>
    <row r="1783" spans="3:7" customFormat="1" x14ac:dyDescent="0.2">
      <c r="C1783" s="4"/>
      <c r="F1783" s="46"/>
      <c r="G1783" s="164"/>
    </row>
    <row r="1784" spans="3:7" customFormat="1" x14ac:dyDescent="0.2">
      <c r="C1784" s="4"/>
      <c r="F1784" s="46"/>
      <c r="G1784" s="164"/>
    </row>
    <row r="1785" spans="3:7" customFormat="1" x14ac:dyDescent="0.2">
      <c r="C1785" s="4"/>
      <c r="F1785" s="46"/>
      <c r="G1785" s="164"/>
    </row>
    <row r="1786" spans="3:7" customFormat="1" x14ac:dyDescent="0.2">
      <c r="C1786" s="4"/>
      <c r="F1786" s="46"/>
      <c r="G1786" s="164"/>
    </row>
    <row r="1787" spans="3:7" customFormat="1" x14ac:dyDescent="0.2">
      <c r="C1787" s="4"/>
      <c r="F1787" s="46"/>
      <c r="G1787" s="164"/>
    </row>
    <row r="1788" spans="3:7" customFormat="1" x14ac:dyDescent="0.2">
      <c r="C1788" s="4"/>
      <c r="F1788" s="46"/>
      <c r="G1788" s="164"/>
    </row>
    <row r="1789" spans="3:7" customFormat="1" x14ac:dyDescent="0.2">
      <c r="C1789" s="4"/>
      <c r="F1789" s="46"/>
      <c r="G1789" s="164"/>
    </row>
    <row r="1790" spans="3:7" customFormat="1" x14ac:dyDescent="0.2">
      <c r="C1790" s="4"/>
      <c r="F1790" s="46"/>
      <c r="G1790" s="164"/>
    </row>
    <row r="1791" spans="3:7" customFormat="1" x14ac:dyDescent="0.2">
      <c r="C1791" s="4"/>
      <c r="F1791" s="46"/>
      <c r="G1791" s="164"/>
    </row>
    <row r="1792" spans="3:7" customFormat="1" x14ac:dyDescent="0.2">
      <c r="C1792" s="4"/>
      <c r="F1792" s="46"/>
      <c r="G1792" s="164"/>
    </row>
    <row r="1793" spans="3:7" customFormat="1" x14ac:dyDescent="0.2">
      <c r="C1793" s="4"/>
      <c r="F1793" s="46"/>
      <c r="G1793" s="164"/>
    </row>
    <row r="1794" spans="3:7" customFormat="1" x14ac:dyDescent="0.2">
      <c r="C1794" s="4"/>
      <c r="F1794" s="46"/>
      <c r="G1794" s="164"/>
    </row>
    <row r="1795" spans="3:7" customFormat="1" x14ac:dyDescent="0.2">
      <c r="C1795" s="4"/>
      <c r="F1795" s="46"/>
      <c r="G1795" s="164"/>
    </row>
    <row r="1796" spans="3:7" customFormat="1" x14ac:dyDescent="0.2">
      <c r="C1796" s="4"/>
      <c r="F1796" s="46"/>
      <c r="G1796" s="164"/>
    </row>
    <row r="1797" spans="3:7" customFormat="1" x14ac:dyDescent="0.2">
      <c r="C1797" s="4"/>
      <c r="F1797" s="46"/>
      <c r="G1797" s="164"/>
    </row>
    <row r="1798" spans="3:7" customFormat="1" x14ac:dyDescent="0.2">
      <c r="C1798" s="4"/>
      <c r="F1798" s="46"/>
      <c r="G1798" s="164"/>
    </row>
    <row r="1799" spans="3:7" customFormat="1" x14ac:dyDescent="0.2">
      <c r="C1799" s="4"/>
      <c r="F1799" s="46"/>
      <c r="G1799" s="164"/>
    </row>
    <row r="1800" spans="3:7" customFormat="1" x14ac:dyDescent="0.2">
      <c r="C1800" s="4"/>
      <c r="F1800" s="46"/>
      <c r="G1800" s="164"/>
    </row>
    <row r="1801" spans="3:7" customFormat="1" x14ac:dyDescent="0.2">
      <c r="C1801" s="4"/>
      <c r="F1801" s="46"/>
      <c r="G1801" s="164"/>
    </row>
    <row r="1802" spans="3:7" customFormat="1" x14ac:dyDescent="0.2">
      <c r="C1802" s="4"/>
      <c r="F1802" s="46"/>
      <c r="G1802" s="164"/>
    </row>
    <row r="1803" spans="3:7" customFormat="1" x14ac:dyDescent="0.2">
      <c r="C1803" s="4"/>
      <c r="F1803" s="46"/>
      <c r="G1803" s="164"/>
    </row>
    <row r="1804" spans="3:7" customFormat="1" x14ac:dyDescent="0.2">
      <c r="C1804" s="4"/>
      <c r="F1804" s="46"/>
      <c r="G1804" s="164"/>
    </row>
    <row r="1805" spans="3:7" customFormat="1" x14ac:dyDescent="0.2">
      <c r="C1805" s="4"/>
      <c r="F1805" s="46"/>
      <c r="G1805" s="164"/>
    </row>
    <row r="1806" spans="3:7" customFormat="1" x14ac:dyDescent="0.2">
      <c r="C1806" s="4"/>
      <c r="F1806" s="46"/>
      <c r="G1806" s="164"/>
    </row>
    <row r="1807" spans="3:7" customFormat="1" x14ac:dyDescent="0.2">
      <c r="C1807" s="4"/>
      <c r="F1807" s="46"/>
      <c r="G1807" s="164"/>
    </row>
    <row r="1808" spans="3:7" customFormat="1" x14ac:dyDescent="0.2">
      <c r="C1808" s="4"/>
      <c r="F1808" s="46"/>
      <c r="G1808" s="164"/>
    </row>
    <row r="1809" spans="3:7" customFormat="1" x14ac:dyDescent="0.2">
      <c r="C1809" s="4"/>
      <c r="F1809" s="46"/>
      <c r="G1809" s="164"/>
    </row>
    <row r="1810" spans="3:7" customFormat="1" x14ac:dyDescent="0.2">
      <c r="C1810" s="4"/>
      <c r="F1810" s="46"/>
      <c r="G1810" s="164"/>
    </row>
    <row r="1811" spans="3:7" customFormat="1" x14ac:dyDescent="0.2">
      <c r="C1811" s="4"/>
      <c r="F1811" s="46"/>
      <c r="G1811" s="164"/>
    </row>
    <row r="1812" spans="3:7" customFormat="1" x14ac:dyDescent="0.2">
      <c r="C1812" s="4"/>
      <c r="F1812" s="46"/>
      <c r="G1812" s="164"/>
    </row>
    <row r="1813" spans="3:7" customFormat="1" x14ac:dyDescent="0.2">
      <c r="C1813" s="4"/>
      <c r="F1813" s="46"/>
      <c r="G1813" s="164"/>
    </row>
    <row r="1814" spans="3:7" customFormat="1" x14ac:dyDescent="0.2">
      <c r="C1814" s="4"/>
      <c r="F1814" s="46"/>
      <c r="G1814" s="164"/>
    </row>
    <row r="1815" spans="3:7" customFormat="1" x14ac:dyDescent="0.2">
      <c r="C1815" s="4"/>
      <c r="F1815" s="46"/>
      <c r="G1815" s="164"/>
    </row>
    <row r="1816" spans="3:7" customFormat="1" x14ac:dyDescent="0.2">
      <c r="C1816" s="4"/>
      <c r="F1816" s="46"/>
      <c r="G1816" s="164"/>
    </row>
    <row r="1817" spans="3:7" customFormat="1" x14ac:dyDescent="0.2">
      <c r="C1817" s="4"/>
      <c r="F1817" s="46"/>
      <c r="G1817" s="164"/>
    </row>
    <row r="1818" spans="3:7" customFormat="1" x14ac:dyDescent="0.2">
      <c r="C1818" s="4"/>
      <c r="F1818" s="46"/>
      <c r="G1818" s="164"/>
    </row>
    <row r="1819" spans="3:7" customFormat="1" x14ac:dyDescent="0.2">
      <c r="C1819" s="4"/>
      <c r="F1819" s="46"/>
      <c r="G1819" s="164"/>
    </row>
    <row r="1820" spans="3:7" customFormat="1" x14ac:dyDescent="0.2">
      <c r="C1820" s="4"/>
      <c r="F1820" s="46"/>
      <c r="G1820" s="164"/>
    </row>
    <row r="1821" spans="3:7" customFormat="1" x14ac:dyDescent="0.2">
      <c r="C1821" s="4"/>
      <c r="F1821" s="46"/>
      <c r="G1821" s="164"/>
    </row>
    <row r="1822" spans="3:7" customFormat="1" x14ac:dyDescent="0.2">
      <c r="C1822" s="4"/>
      <c r="F1822" s="46"/>
      <c r="G1822" s="164"/>
    </row>
    <row r="1823" spans="3:7" customFormat="1" x14ac:dyDescent="0.2">
      <c r="C1823" s="4"/>
      <c r="F1823" s="46"/>
      <c r="G1823" s="164"/>
    </row>
    <row r="1824" spans="3:7" customFormat="1" x14ac:dyDescent="0.2">
      <c r="C1824" s="4"/>
      <c r="F1824" s="46"/>
      <c r="G1824" s="164"/>
    </row>
    <row r="1825" spans="3:7" customFormat="1" x14ac:dyDescent="0.2">
      <c r="C1825" s="4"/>
      <c r="F1825" s="46"/>
      <c r="G1825" s="164"/>
    </row>
    <row r="1826" spans="3:7" customFormat="1" x14ac:dyDescent="0.2">
      <c r="C1826" s="4"/>
      <c r="F1826" s="46"/>
      <c r="G1826" s="164"/>
    </row>
    <row r="1827" spans="3:7" customFormat="1" x14ac:dyDescent="0.2">
      <c r="C1827" s="4"/>
      <c r="F1827" s="46"/>
      <c r="G1827" s="164"/>
    </row>
    <row r="1828" spans="3:7" customFormat="1" x14ac:dyDescent="0.2">
      <c r="C1828" s="4"/>
      <c r="F1828" s="46"/>
      <c r="G1828" s="164"/>
    </row>
    <row r="1829" spans="3:7" customFormat="1" x14ac:dyDescent="0.2">
      <c r="C1829" s="4"/>
      <c r="F1829" s="46"/>
      <c r="G1829" s="164"/>
    </row>
    <row r="1830" spans="3:7" customFormat="1" x14ac:dyDescent="0.2">
      <c r="C1830" s="4"/>
      <c r="F1830" s="46"/>
      <c r="G1830" s="164"/>
    </row>
    <row r="1831" spans="3:7" customFormat="1" x14ac:dyDescent="0.2">
      <c r="C1831" s="4"/>
      <c r="F1831" s="46"/>
      <c r="G1831" s="164"/>
    </row>
    <row r="1832" spans="3:7" customFormat="1" x14ac:dyDescent="0.2">
      <c r="C1832" s="4"/>
      <c r="F1832" s="46"/>
      <c r="G1832" s="164"/>
    </row>
    <row r="1833" spans="3:7" customFormat="1" x14ac:dyDescent="0.2">
      <c r="C1833" s="4"/>
      <c r="F1833" s="46"/>
      <c r="G1833" s="164"/>
    </row>
    <row r="1834" spans="3:7" customFormat="1" x14ac:dyDescent="0.2">
      <c r="C1834" s="4"/>
      <c r="F1834" s="46"/>
      <c r="G1834" s="164"/>
    </row>
    <row r="1835" spans="3:7" customFormat="1" x14ac:dyDescent="0.2">
      <c r="C1835" s="4"/>
      <c r="F1835" s="46"/>
      <c r="G1835" s="164"/>
    </row>
    <row r="1836" spans="3:7" customFormat="1" x14ac:dyDescent="0.2">
      <c r="C1836" s="4"/>
      <c r="F1836" s="46"/>
      <c r="G1836" s="164"/>
    </row>
    <row r="1837" spans="3:7" customFormat="1" x14ac:dyDescent="0.2">
      <c r="C1837" s="4"/>
      <c r="F1837" s="46"/>
      <c r="G1837" s="164"/>
    </row>
    <row r="1838" spans="3:7" customFormat="1" x14ac:dyDescent="0.2">
      <c r="C1838" s="4"/>
      <c r="F1838" s="46"/>
      <c r="G1838" s="164"/>
    </row>
    <row r="1839" spans="3:7" customFormat="1" x14ac:dyDescent="0.2">
      <c r="C1839" s="4"/>
      <c r="F1839" s="46"/>
      <c r="G1839" s="164"/>
    </row>
    <row r="1840" spans="3:7" customFormat="1" x14ac:dyDescent="0.2">
      <c r="C1840" s="4"/>
      <c r="F1840" s="46"/>
      <c r="G1840" s="164"/>
    </row>
    <row r="1841" spans="3:7" customFormat="1" x14ac:dyDescent="0.2">
      <c r="C1841" s="4"/>
      <c r="F1841" s="46"/>
      <c r="G1841" s="164"/>
    </row>
    <row r="1842" spans="3:7" customFormat="1" x14ac:dyDescent="0.2">
      <c r="C1842" s="4"/>
      <c r="F1842" s="46"/>
      <c r="G1842" s="164"/>
    </row>
    <row r="1843" spans="3:7" customFormat="1" x14ac:dyDescent="0.2">
      <c r="C1843" s="4"/>
      <c r="F1843" s="46"/>
      <c r="G1843" s="164"/>
    </row>
    <row r="1844" spans="3:7" customFormat="1" x14ac:dyDescent="0.2">
      <c r="C1844" s="4"/>
      <c r="F1844" s="46"/>
      <c r="G1844" s="164"/>
    </row>
    <row r="1845" spans="3:7" customFormat="1" x14ac:dyDescent="0.2">
      <c r="C1845" s="4"/>
      <c r="F1845" s="46"/>
      <c r="G1845" s="164"/>
    </row>
    <row r="1846" spans="3:7" customFormat="1" x14ac:dyDescent="0.2">
      <c r="C1846" s="4"/>
      <c r="F1846" s="46"/>
      <c r="G1846" s="164"/>
    </row>
    <row r="1847" spans="3:7" customFormat="1" x14ac:dyDescent="0.2">
      <c r="C1847" s="4"/>
      <c r="F1847" s="46"/>
      <c r="G1847" s="164"/>
    </row>
    <row r="1848" spans="3:7" customFormat="1" x14ac:dyDescent="0.2">
      <c r="C1848" s="4"/>
      <c r="F1848" s="46"/>
      <c r="G1848" s="164"/>
    </row>
    <row r="1849" spans="3:7" customFormat="1" x14ac:dyDescent="0.2">
      <c r="C1849" s="4"/>
      <c r="F1849" s="46"/>
      <c r="G1849" s="164"/>
    </row>
    <row r="1850" spans="3:7" customFormat="1" x14ac:dyDescent="0.2">
      <c r="C1850" s="4"/>
      <c r="F1850" s="46"/>
      <c r="G1850" s="164"/>
    </row>
    <row r="1851" spans="3:7" customFormat="1" x14ac:dyDescent="0.2">
      <c r="C1851" s="4"/>
      <c r="F1851" s="46"/>
      <c r="G1851" s="164"/>
    </row>
    <row r="1852" spans="3:7" customFormat="1" x14ac:dyDescent="0.2">
      <c r="C1852" s="4"/>
      <c r="F1852" s="46"/>
      <c r="G1852" s="164"/>
    </row>
    <row r="1853" spans="3:7" customFormat="1" x14ac:dyDescent="0.2">
      <c r="C1853" s="4"/>
      <c r="F1853" s="46"/>
      <c r="G1853" s="164"/>
    </row>
    <row r="1854" spans="3:7" customFormat="1" x14ac:dyDescent="0.2">
      <c r="C1854" s="4"/>
      <c r="F1854" s="46"/>
      <c r="G1854" s="164"/>
    </row>
    <row r="1855" spans="3:7" customFormat="1" x14ac:dyDescent="0.2">
      <c r="C1855" s="4"/>
      <c r="F1855" s="46"/>
      <c r="G1855" s="164"/>
    </row>
    <row r="1856" spans="3:7" customFormat="1" x14ac:dyDescent="0.2">
      <c r="C1856" s="4"/>
      <c r="F1856" s="46"/>
      <c r="G1856" s="164"/>
    </row>
    <row r="1857" spans="3:7" customFormat="1" x14ac:dyDescent="0.2">
      <c r="C1857" s="4"/>
      <c r="F1857" s="46"/>
      <c r="G1857" s="164"/>
    </row>
    <row r="1858" spans="3:7" customFormat="1" x14ac:dyDescent="0.2">
      <c r="C1858" s="4"/>
      <c r="F1858" s="46"/>
      <c r="G1858" s="164"/>
    </row>
    <row r="1859" spans="3:7" customFormat="1" x14ac:dyDescent="0.2">
      <c r="C1859" s="4"/>
      <c r="F1859" s="46"/>
      <c r="G1859" s="164"/>
    </row>
    <row r="1860" spans="3:7" customFormat="1" x14ac:dyDescent="0.2">
      <c r="C1860" s="4"/>
      <c r="F1860" s="46"/>
      <c r="G1860" s="164"/>
    </row>
    <row r="1861" spans="3:7" customFormat="1" x14ac:dyDescent="0.2">
      <c r="C1861" s="4"/>
      <c r="F1861" s="46"/>
      <c r="G1861" s="164"/>
    </row>
    <row r="1862" spans="3:7" customFormat="1" x14ac:dyDescent="0.2">
      <c r="C1862" s="4"/>
      <c r="F1862" s="46"/>
      <c r="G1862" s="164"/>
    </row>
    <row r="1863" spans="3:7" customFormat="1" x14ac:dyDescent="0.2">
      <c r="C1863" s="4"/>
      <c r="F1863" s="46"/>
      <c r="G1863" s="164"/>
    </row>
    <row r="1864" spans="3:7" customFormat="1" x14ac:dyDescent="0.2">
      <c r="C1864" s="4"/>
      <c r="F1864" s="46"/>
      <c r="G1864" s="164"/>
    </row>
    <row r="1865" spans="3:7" customFormat="1" x14ac:dyDescent="0.2">
      <c r="C1865" s="4"/>
      <c r="F1865" s="46"/>
      <c r="G1865" s="164"/>
    </row>
    <row r="1866" spans="3:7" customFormat="1" x14ac:dyDescent="0.2">
      <c r="C1866" s="4"/>
      <c r="F1866" s="46"/>
      <c r="G1866" s="164"/>
    </row>
    <row r="1867" spans="3:7" customFormat="1" x14ac:dyDescent="0.2">
      <c r="C1867" s="4"/>
      <c r="F1867" s="46"/>
      <c r="G1867" s="164"/>
    </row>
    <row r="1868" spans="3:7" customFormat="1" x14ac:dyDescent="0.2">
      <c r="C1868" s="4"/>
      <c r="F1868" s="46"/>
      <c r="G1868" s="164"/>
    </row>
    <row r="1869" spans="3:7" customFormat="1" x14ac:dyDescent="0.2">
      <c r="C1869" s="4"/>
      <c r="F1869" s="46"/>
      <c r="G1869" s="164"/>
    </row>
    <row r="1870" spans="3:7" customFormat="1" x14ac:dyDescent="0.2">
      <c r="C1870" s="4"/>
      <c r="F1870" s="46"/>
      <c r="G1870" s="164"/>
    </row>
    <row r="1871" spans="3:7" customFormat="1" x14ac:dyDescent="0.2">
      <c r="C1871" s="4"/>
      <c r="F1871" s="46"/>
      <c r="G1871" s="164"/>
    </row>
    <row r="1872" spans="3:7" customFormat="1" x14ac:dyDescent="0.2">
      <c r="C1872" s="4"/>
      <c r="F1872" s="46"/>
      <c r="G1872" s="164"/>
    </row>
    <row r="1873" spans="3:7" customFormat="1" x14ac:dyDescent="0.2">
      <c r="C1873" s="4"/>
      <c r="F1873" s="46"/>
      <c r="G1873" s="164"/>
    </row>
    <row r="1874" spans="3:7" customFormat="1" x14ac:dyDescent="0.2">
      <c r="C1874" s="4"/>
      <c r="F1874" s="46"/>
      <c r="G1874" s="164"/>
    </row>
    <row r="1875" spans="3:7" customFormat="1" x14ac:dyDescent="0.2">
      <c r="C1875" s="4"/>
      <c r="F1875" s="46"/>
      <c r="G1875" s="164"/>
    </row>
    <row r="1876" spans="3:7" customFormat="1" x14ac:dyDescent="0.2">
      <c r="C1876" s="4"/>
      <c r="F1876" s="46"/>
      <c r="G1876" s="164"/>
    </row>
    <row r="1877" spans="3:7" customFormat="1" x14ac:dyDescent="0.2">
      <c r="C1877" s="4"/>
      <c r="F1877" s="46"/>
      <c r="G1877" s="164"/>
    </row>
    <row r="1878" spans="3:7" customFormat="1" x14ac:dyDescent="0.2">
      <c r="C1878" s="4"/>
      <c r="F1878" s="46"/>
      <c r="G1878" s="164"/>
    </row>
    <row r="1879" spans="3:7" customFormat="1" x14ac:dyDescent="0.2">
      <c r="C1879" s="4"/>
      <c r="F1879" s="46"/>
      <c r="G1879" s="164"/>
    </row>
    <row r="1880" spans="3:7" customFormat="1" x14ac:dyDescent="0.2">
      <c r="C1880" s="4"/>
      <c r="F1880" s="46"/>
      <c r="G1880" s="164"/>
    </row>
    <row r="1881" spans="3:7" customFormat="1" x14ac:dyDescent="0.2">
      <c r="C1881" s="4"/>
      <c r="F1881" s="46"/>
      <c r="G1881" s="164"/>
    </row>
    <row r="1882" spans="3:7" customFormat="1" x14ac:dyDescent="0.2">
      <c r="C1882" s="4"/>
      <c r="F1882" s="46"/>
      <c r="G1882" s="164"/>
    </row>
    <row r="1883" spans="3:7" customFormat="1" x14ac:dyDescent="0.2">
      <c r="C1883" s="4"/>
      <c r="F1883" s="46"/>
      <c r="G1883" s="164"/>
    </row>
    <row r="1884" spans="3:7" customFormat="1" x14ac:dyDescent="0.2">
      <c r="C1884" s="4"/>
      <c r="F1884" s="46"/>
      <c r="G1884" s="164"/>
    </row>
    <row r="1885" spans="3:7" customFormat="1" x14ac:dyDescent="0.2">
      <c r="C1885" s="4"/>
      <c r="F1885" s="46"/>
      <c r="G1885" s="164"/>
    </row>
    <row r="1886" spans="3:7" customFormat="1" x14ac:dyDescent="0.2">
      <c r="C1886" s="4"/>
      <c r="F1886" s="46"/>
      <c r="G1886" s="164"/>
    </row>
    <row r="1887" spans="3:7" customFormat="1" x14ac:dyDescent="0.2">
      <c r="C1887" s="4"/>
      <c r="F1887" s="46"/>
      <c r="G1887" s="164"/>
    </row>
    <row r="1888" spans="3:7" customFormat="1" x14ac:dyDescent="0.2">
      <c r="C1888" s="4"/>
      <c r="F1888" s="46"/>
      <c r="G1888" s="164"/>
    </row>
    <row r="1889" spans="3:7" customFormat="1" x14ac:dyDescent="0.2">
      <c r="C1889" s="4"/>
      <c r="F1889" s="46"/>
      <c r="G1889" s="164"/>
    </row>
    <row r="1890" spans="3:7" customFormat="1" x14ac:dyDescent="0.2">
      <c r="C1890" s="4"/>
      <c r="F1890" s="46"/>
      <c r="G1890" s="164"/>
    </row>
    <row r="1891" spans="3:7" customFormat="1" x14ac:dyDescent="0.2">
      <c r="C1891" s="4"/>
      <c r="F1891" s="46"/>
      <c r="G1891" s="164"/>
    </row>
    <row r="1892" spans="3:7" customFormat="1" x14ac:dyDescent="0.2">
      <c r="C1892" s="4"/>
      <c r="F1892" s="46"/>
      <c r="G1892" s="164"/>
    </row>
    <row r="1893" spans="3:7" customFormat="1" x14ac:dyDescent="0.2">
      <c r="C1893" s="4"/>
      <c r="F1893" s="46"/>
      <c r="G1893" s="164"/>
    </row>
    <row r="1894" spans="3:7" customFormat="1" x14ac:dyDescent="0.2">
      <c r="C1894" s="4"/>
      <c r="F1894" s="46"/>
      <c r="G1894" s="164"/>
    </row>
    <row r="1895" spans="3:7" customFormat="1" x14ac:dyDescent="0.2">
      <c r="C1895" s="4"/>
      <c r="F1895" s="46"/>
      <c r="G1895" s="164"/>
    </row>
    <row r="1896" spans="3:7" customFormat="1" x14ac:dyDescent="0.2">
      <c r="C1896" s="4"/>
      <c r="F1896" s="46"/>
      <c r="G1896" s="164"/>
    </row>
    <row r="1897" spans="3:7" customFormat="1" x14ac:dyDescent="0.2">
      <c r="C1897" s="4"/>
      <c r="F1897" s="46"/>
      <c r="G1897" s="164"/>
    </row>
    <row r="1898" spans="3:7" customFormat="1" x14ac:dyDescent="0.2">
      <c r="C1898" s="4"/>
      <c r="F1898" s="46"/>
      <c r="G1898" s="164"/>
    </row>
    <row r="1899" spans="3:7" customFormat="1" x14ac:dyDescent="0.2">
      <c r="C1899" s="4"/>
      <c r="F1899" s="46"/>
      <c r="G1899" s="164"/>
    </row>
    <row r="1900" spans="3:7" customFormat="1" x14ac:dyDescent="0.2">
      <c r="C1900" s="4"/>
      <c r="F1900" s="46"/>
      <c r="G1900" s="164"/>
    </row>
    <row r="1901" spans="3:7" customFormat="1" x14ac:dyDescent="0.2">
      <c r="C1901" s="4"/>
      <c r="F1901" s="46"/>
      <c r="G1901" s="164"/>
    </row>
    <row r="1902" spans="3:7" customFormat="1" x14ac:dyDescent="0.2">
      <c r="C1902" s="4"/>
      <c r="F1902" s="46"/>
      <c r="G1902" s="164"/>
    </row>
    <row r="1903" spans="3:7" customFormat="1" x14ac:dyDescent="0.2">
      <c r="C1903" s="4"/>
      <c r="F1903" s="46"/>
      <c r="G1903" s="164"/>
    </row>
    <row r="1904" spans="3:7" customFormat="1" x14ac:dyDescent="0.2">
      <c r="C1904" s="4"/>
      <c r="F1904" s="46"/>
      <c r="G1904" s="164"/>
    </row>
    <row r="1905" spans="3:7" customFormat="1" x14ac:dyDescent="0.2">
      <c r="C1905" s="4"/>
      <c r="F1905" s="46"/>
      <c r="G1905" s="164"/>
    </row>
    <row r="1906" spans="3:7" customFormat="1" x14ac:dyDescent="0.2">
      <c r="C1906" s="4"/>
      <c r="F1906" s="46"/>
      <c r="G1906" s="164"/>
    </row>
    <row r="1907" spans="3:7" customFormat="1" x14ac:dyDescent="0.2">
      <c r="C1907" s="4"/>
      <c r="F1907" s="46"/>
      <c r="G1907" s="164"/>
    </row>
    <row r="1908" spans="3:7" customFormat="1" x14ac:dyDescent="0.2">
      <c r="C1908" s="4"/>
      <c r="F1908" s="46"/>
      <c r="G1908" s="164"/>
    </row>
    <row r="1909" spans="3:7" customFormat="1" x14ac:dyDescent="0.2">
      <c r="C1909" s="4"/>
      <c r="F1909" s="46"/>
      <c r="G1909" s="164"/>
    </row>
    <row r="1910" spans="3:7" customFormat="1" x14ac:dyDescent="0.2">
      <c r="C1910" s="4"/>
      <c r="F1910" s="46"/>
      <c r="G1910" s="164"/>
    </row>
    <row r="1911" spans="3:7" customFormat="1" x14ac:dyDescent="0.2">
      <c r="C1911" s="4"/>
      <c r="F1911" s="46"/>
      <c r="G1911" s="164"/>
    </row>
    <row r="1912" spans="3:7" customFormat="1" x14ac:dyDescent="0.2">
      <c r="C1912" s="4"/>
      <c r="F1912" s="46"/>
      <c r="G1912" s="164"/>
    </row>
    <row r="1913" spans="3:7" customFormat="1" x14ac:dyDescent="0.2">
      <c r="C1913" s="4"/>
      <c r="F1913" s="46"/>
      <c r="G1913" s="164"/>
    </row>
    <row r="1914" spans="3:7" customFormat="1" x14ac:dyDescent="0.2">
      <c r="C1914" s="4"/>
      <c r="F1914" s="46"/>
      <c r="G1914" s="164"/>
    </row>
    <row r="1915" spans="3:7" customFormat="1" x14ac:dyDescent="0.2">
      <c r="C1915" s="4"/>
      <c r="F1915" s="46"/>
      <c r="G1915" s="164"/>
    </row>
    <row r="1916" spans="3:7" customFormat="1" x14ac:dyDescent="0.2">
      <c r="C1916" s="4"/>
      <c r="F1916" s="46"/>
      <c r="G1916" s="164"/>
    </row>
    <row r="1917" spans="3:7" customFormat="1" x14ac:dyDescent="0.2">
      <c r="C1917" s="4"/>
      <c r="F1917" s="46"/>
      <c r="G1917" s="164"/>
    </row>
    <row r="1918" spans="3:7" customFormat="1" x14ac:dyDescent="0.2">
      <c r="C1918" s="4"/>
      <c r="F1918" s="46"/>
      <c r="G1918" s="164"/>
    </row>
    <row r="1919" spans="3:7" customFormat="1" x14ac:dyDescent="0.2">
      <c r="C1919" s="4"/>
      <c r="F1919" s="46"/>
      <c r="G1919" s="164"/>
    </row>
    <row r="1920" spans="3:7" customFormat="1" x14ac:dyDescent="0.2">
      <c r="C1920" s="4"/>
      <c r="F1920" s="46"/>
      <c r="G1920" s="164"/>
    </row>
    <row r="1921" spans="3:7" customFormat="1" x14ac:dyDescent="0.2">
      <c r="C1921" s="4"/>
      <c r="F1921" s="46"/>
      <c r="G1921" s="164"/>
    </row>
    <row r="1922" spans="3:7" customFormat="1" x14ac:dyDescent="0.2">
      <c r="C1922" s="4"/>
      <c r="F1922" s="46"/>
      <c r="G1922" s="164"/>
    </row>
    <row r="1923" spans="3:7" customFormat="1" x14ac:dyDescent="0.2">
      <c r="C1923" s="4"/>
      <c r="F1923" s="46"/>
      <c r="G1923" s="164"/>
    </row>
    <row r="1924" spans="3:7" customFormat="1" x14ac:dyDescent="0.2">
      <c r="C1924" s="4"/>
      <c r="F1924" s="46"/>
      <c r="G1924" s="164"/>
    </row>
    <row r="1925" spans="3:7" customFormat="1" x14ac:dyDescent="0.2">
      <c r="C1925" s="4"/>
      <c r="F1925" s="46"/>
      <c r="G1925" s="164"/>
    </row>
    <row r="1926" spans="3:7" customFormat="1" x14ac:dyDescent="0.2">
      <c r="C1926" s="4"/>
      <c r="F1926" s="46"/>
      <c r="G1926" s="164"/>
    </row>
    <row r="1927" spans="3:7" customFormat="1" x14ac:dyDescent="0.2">
      <c r="C1927" s="4"/>
      <c r="F1927" s="46"/>
      <c r="G1927" s="164"/>
    </row>
    <row r="1928" spans="3:7" customFormat="1" x14ac:dyDescent="0.2">
      <c r="C1928" s="4"/>
      <c r="F1928" s="46"/>
      <c r="G1928" s="164"/>
    </row>
    <row r="1929" spans="3:7" customFormat="1" x14ac:dyDescent="0.2">
      <c r="C1929" s="4"/>
      <c r="F1929" s="46"/>
      <c r="G1929" s="164"/>
    </row>
    <row r="1930" spans="3:7" customFormat="1" x14ac:dyDescent="0.2">
      <c r="C1930" s="4"/>
      <c r="F1930" s="46"/>
      <c r="G1930" s="164"/>
    </row>
    <row r="1931" spans="3:7" customFormat="1" x14ac:dyDescent="0.2">
      <c r="C1931" s="4"/>
      <c r="F1931" s="46"/>
      <c r="G1931" s="164"/>
    </row>
    <row r="1932" spans="3:7" customFormat="1" x14ac:dyDescent="0.2">
      <c r="C1932" s="4"/>
      <c r="F1932" s="46"/>
      <c r="G1932" s="164"/>
    </row>
    <row r="1933" spans="3:7" customFormat="1" x14ac:dyDescent="0.2">
      <c r="C1933" s="4"/>
      <c r="F1933" s="46"/>
      <c r="G1933" s="164"/>
    </row>
    <row r="1934" spans="3:7" customFormat="1" x14ac:dyDescent="0.2">
      <c r="C1934" s="4"/>
      <c r="F1934" s="46"/>
      <c r="G1934" s="164"/>
    </row>
    <row r="1935" spans="3:7" customFormat="1" x14ac:dyDescent="0.2">
      <c r="C1935" s="4"/>
      <c r="F1935" s="46"/>
      <c r="G1935" s="164"/>
    </row>
    <row r="1936" spans="3:7" customFormat="1" x14ac:dyDescent="0.2">
      <c r="C1936" s="4"/>
      <c r="F1936" s="46"/>
      <c r="G1936" s="164"/>
    </row>
    <row r="1937" spans="3:7" customFormat="1" x14ac:dyDescent="0.2">
      <c r="C1937" s="4"/>
      <c r="F1937" s="46"/>
      <c r="G1937" s="164"/>
    </row>
    <row r="1938" spans="3:7" customFormat="1" x14ac:dyDescent="0.2">
      <c r="C1938" s="4"/>
      <c r="F1938" s="46"/>
      <c r="G1938" s="164"/>
    </row>
    <row r="1939" spans="3:7" customFormat="1" x14ac:dyDescent="0.2">
      <c r="C1939" s="4"/>
      <c r="F1939" s="46"/>
      <c r="G1939" s="164"/>
    </row>
    <row r="1940" spans="3:7" customFormat="1" x14ac:dyDescent="0.2">
      <c r="C1940" s="4"/>
      <c r="F1940" s="46"/>
      <c r="G1940" s="164"/>
    </row>
    <row r="1941" spans="3:7" customFormat="1" x14ac:dyDescent="0.2">
      <c r="C1941" s="4"/>
      <c r="F1941" s="46"/>
      <c r="G1941" s="164"/>
    </row>
    <row r="1942" spans="3:7" customFormat="1" x14ac:dyDescent="0.2">
      <c r="C1942" s="4"/>
      <c r="F1942" s="46"/>
      <c r="G1942" s="164"/>
    </row>
    <row r="1943" spans="3:7" customFormat="1" x14ac:dyDescent="0.2">
      <c r="C1943" s="4"/>
      <c r="F1943" s="46"/>
      <c r="G1943" s="164"/>
    </row>
    <row r="1944" spans="3:7" customFormat="1" x14ac:dyDescent="0.2">
      <c r="C1944" s="4"/>
      <c r="F1944" s="46"/>
      <c r="G1944" s="164"/>
    </row>
    <row r="1945" spans="3:7" customFormat="1" x14ac:dyDescent="0.2">
      <c r="C1945" s="4"/>
      <c r="F1945" s="46"/>
      <c r="G1945" s="164"/>
    </row>
    <row r="1946" spans="3:7" customFormat="1" x14ac:dyDescent="0.2">
      <c r="C1946" s="4"/>
      <c r="F1946" s="46"/>
      <c r="G1946" s="164"/>
    </row>
    <row r="1947" spans="3:7" customFormat="1" x14ac:dyDescent="0.2">
      <c r="C1947" s="4"/>
      <c r="F1947" s="46"/>
      <c r="G1947" s="164"/>
    </row>
    <row r="1948" spans="3:7" customFormat="1" x14ac:dyDescent="0.2">
      <c r="C1948" s="4"/>
      <c r="F1948" s="46"/>
      <c r="G1948" s="164"/>
    </row>
    <row r="1949" spans="3:7" customFormat="1" x14ac:dyDescent="0.2">
      <c r="C1949" s="4"/>
      <c r="F1949" s="46"/>
      <c r="G1949" s="164"/>
    </row>
    <row r="1950" spans="3:7" customFormat="1" x14ac:dyDescent="0.2">
      <c r="C1950" s="4"/>
      <c r="F1950" s="46"/>
      <c r="G1950" s="164"/>
    </row>
    <row r="1951" spans="3:7" customFormat="1" x14ac:dyDescent="0.2">
      <c r="C1951" s="4"/>
      <c r="F1951" s="46"/>
      <c r="G1951" s="164"/>
    </row>
    <row r="1952" spans="3:7" customFormat="1" x14ac:dyDescent="0.2">
      <c r="C1952" s="4"/>
      <c r="F1952" s="46"/>
      <c r="G1952" s="164"/>
    </row>
    <row r="1953" spans="3:7" customFormat="1" x14ac:dyDescent="0.2">
      <c r="C1953" s="4"/>
      <c r="F1953" s="46"/>
      <c r="G1953" s="164"/>
    </row>
    <row r="1954" spans="3:7" customFormat="1" x14ac:dyDescent="0.2">
      <c r="C1954" s="4"/>
      <c r="F1954" s="46"/>
      <c r="G1954" s="164"/>
    </row>
    <row r="1955" spans="3:7" customFormat="1" x14ac:dyDescent="0.2">
      <c r="C1955" s="4"/>
      <c r="F1955" s="46"/>
      <c r="G1955" s="164"/>
    </row>
    <row r="1956" spans="3:7" customFormat="1" x14ac:dyDescent="0.2">
      <c r="C1956" s="4"/>
      <c r="F1956" s="46"/>
      <c r="G1956" s="164"/>
    </row>
    <row r="1957" spans="3:7" customFormat="1" x14ac:dyDescent="0.2">
      <c r="C1957" s="4"/>
      <c r="F1957" s="46"/>
      <c r="G1957" s="164"/>
    </row>
    <row r="1958" spans="3:7" customFormat="1" x14ac:dyDescent="0.2">
      <c r="C1958" s="4"/>
      <c r="F1958" s="46"/>
      <c r="G1958" s="164"/>
    </row>
    <row r="1959" spans="3:7" customFormat="1" x14ac:dyDescent="0.2">
      <c r="C1959" s="4"/>
      <c r="F1959" s="46"/>
      <c r="G1959" s="164"/>
    </row>
    <row r="1960" spans="3:7" customFormat="1" x14ac:dyDescent="0.2">
      <c r="C1960" s="4"/>
      <c r="F1960" s="46"/>
      <c r="G1960" s="164"/>
    </row>
    <row r="1961" spans="3:7" customFormat="1" x14ac:dyDescent="0.2">
      <c r="C1961" s="4"/>
      <c r="F1961" s="46"/>
      <c r="G1961" s="164"/>
    </row>
    <row r="1962" spans="3:7" customFormat="1" x14ac:dyDescent="0.2">
      <c r="C1962" s="4"/>
      <c r="F1962" s="46"/>
      <c r="G1962" s="164"/>
    </row>
    <row r="1963" spans="3:7" customFormat="1" x14ac:dyDescent="0.2">
      <c r="C1963" s="4"/>
      <c r="F1963" s="46"/>
      <c r="G1963" s="164"/>
    </row>
    <row r="1964" spans="3:7" customFormat="1" x14ac:dyDescent="0.2">
      <c r="C1964" s="4"/>
      <c r="F1964" s="46"/>
      <c r="G1964" s="164"/>
    </row>
    <row r="1965" spans="3:7" customFormat="1" x14ac:dyDescent="0.2">
      <c r="C1965" s="4"/>
      <c r="F1965" s="46"/>
      <c r="G1965" s="164"/>
    </row>
    <row r="1966" spans="3:7" customFormat="1" x14ac:dyDescent="0.2">
      <c r="C1966" s="4"/>
      <c r="F1966" s="46"/>
      <c r="G1966" s="164"/>
    </row>
    <row r="1967" spans="3:7" customFormat="1" x14ac:dyDescent="0.2">
      <c r="C1967" s="4"/>
      <c r="F1967" s="46"/>
      <c r="G1967" s="164"/>
    </row>
    <row r="1968" spans="3:7" customFormat="1" x14ac:dyDescent="0.2">
      <c r="C1968" s="4"/>
      <c r="F1968" s="46"/>
      <c r="G1968" s="164"/>
    </row>
    <row r="1969" spans="3:7" customFormat="1" x14ac:dyDescent="0.2">
      <c r="C1969" s="4"/>
      <c r="F1969" s="46"/>
      <c r="G1969" s="164"/>
    </row>
    <row r="1970" spans="3:7" customFormat="1" x14ac:dyDescent="0.2">
      <c r="C1970" s="4"/>
      <c r="F1970" s="46"/>
      <c r="G1970" s="164"/>
    </row>
    <row r="1971" spans="3:7" customFormat="1" x14ac:dyDescent="0.2">
      <c r="C1971" s="4"/>
      <c r="F1971" s="46"/>
      <c r="G1971" s="164"/>
    </row>
    <row r="1972" spans="3:7" customFormat="1" x14ac:dyDescent="0.2">
      <c r="C1972" s="4"/>
      <c r="F1972" s="46"/>
      <c r="G1972" s="164"/>
    </row>
    <row r="1973" spans="3:7" customFormat="1" x14ac:dyDescent="0.2">
      <c r="C1973" s="4"/>
      <c r="F1973" s="46"/>
      <c r="G1973" s="164"/>
    </row>
    <row r="1974" spans="3:7" customFormat="1" x14ac:dyDescent="0.2">
      <c r="C1974" s="4"/>
      <c r="F1974" s="46"/>
      <c r="G1974" s="164"/>
    </row>
    <row r="1975" spans="3:7" customFormat="1" x14ac:dyDescent="0.2">
      <c r="C1975" s="4"/>
      <c r="F1975" s="46"/>
      <c r="G1975" s="164"/>
    </row>
    <row r="1976" spans="3:7" customFormat="1" x14ac:dyDescent="0.2">
      <c r="C1976" s="4"/>
      <c r="F1976" s="46"/>
      <c r="G1976" s="164"/>
    </row>
    <row r="1977" spans="3:7" customFormat="1" x14ac:dyDescent="0.2">
      <c r="C1977" s="4"/>
      <c r="F1977" s="46"/>
      <c r="G1977" s="164"/>
    </row>
    <row r="1978" spans="3:7" customFormat="1" x14ac:dyDescent="0.2">
      <c r="C1978" s="4"/>
      <c r="F1978" s="46"/>
      <c r="G1978" s="164"/>
    </row>
    <row r="1979" spans="3:7" customFormat="1" x14ac:dyDescent="0.2">
      <c r="C1979" s="4"/>
      <c r="F1979" s="46"/>
      <c r="G1979" s="164"/>
    </row>
    <row r="1980" spans="3:7" customFormat="1" x14ac:dyDescent="0.2">
      <c r="C1980" s="4"/>
      <c r="F1980" s="46"/>
      <c r="G1980" s="164"/>
    </row>
    <row r="1981" spans="3:7" customFormat="1" x14ac:dyDescent="0.2">
      <c r="C1981" s="4"/>
      <c r="F1981" s="46"/>
      <c r="G1981" s="164"/>
    </row>
    <row r="1982" spans="3:7" customFormat="1" x14ac:dyDescent="0.2">
      <c r="C1982" s="4"/>
      <c r="F1982" s="46"/>
      <c r="G1982" s="164"/>
    </row>
    <row r="1983" spans="3:7" customFormat="1" x14ac:dyDescent="0.2">
      <c r="C1983" s="4"/>
      <c r="F1983" s="46"/>
      <c r="G1983" s="164"/>
    </row>
    <row r="1984" spans="3:7" customFormat="1" x14ac:dyDescent="0.2">
      <c r="C1984" s="4"/>
      <c r="F1984" s="46"/>
      <c r="G1984" s="164"/>
    </row>
    <row r="1985" spans="3:7" customFormat="1" x14ac:dyDescent="0.2">
      <c r="C1985" s="4"/>
      <c r="F1985" s="46"/>
      <c r="G1985" s="164"/>
    </row>
    <row r="1986" spans="3:7" customFormat="1" x14ac:dyDescent="0.2">
      <c r="C1986" s="4"/>
      <c r="F1986" s="46"/>
      <c r="G1986" s="164"/>
    </row>
    <row r="1987" spans="3:7" customFormat="1" x14ac:dyDescent="0.2">
      <c r="C1987" s="4"/>
      <c r="F1987" s="46"/>
      <c r="G1987" s="164"/>
    </row>
    <row r="1988" spans="3:7" customFormat="1" x14ac:dyDescent="0.2">
      <c r="C1988" s="4"/>
      <c r="F1988" s="46"/>
      <c r="G1988" s="164"/>
    </row>
    <row r="1989" spans="3:7" customFormat="1" x14ac:dyDescent="0.2">
      <c r="C1989" s="4"/>
      <c r="F1989" s="46"/>
      <c r="G1989" s="164"/>
    </row>
    <row r="1990" spans="3:7" customFormat="1" x14ac:dyDescent="0.2">
      <c r="C1990" s="4"/>
      <c r="F1990" s="46"/>
      <c r="G1990" s="164"/>
    </row>
    <row r="1991" spans="3:7" customFormat="1" x14ac:dyDescent="0.2">
      <c r="C1991" s="4"/>
      <c r="F1991" s="46"/>
      <c r="G1991" s="164"/>
    </row>
    <row r="1992" spans="3:7" customFormat="1" x14ac:dyDescent="0.2">
      <c r="C1992" s="4"/>
      <c r="F1992" s="46"/>
      <c r="G1992" s="164"/>
    </row>
    <row r="1993" spans="3:7" customFormat="1" x14ac:dyDescent="0.2">
      <c r="C1993" s="4"/>
      <c r="F1993" s="46"/>
      <c r="G1993" s="164"/>
    </row>
    <row r="1994" spans="3:7" customFormat="1" x14ac:dyDescent="0.2">
      <c r="C1994" s="4"/>
      <c r="F1994" s="46"/>
      <c r="G1994" s="164"/>
    </row>
    <row r="1995" spans="3:7" customFormat="1" x14ac:dyDescent="0.2">
      <c r="C1995" s="4"/>
      <c r="F1995" s="46"/>
      <c r="G1995" s="164"/>
    </row>
    <row r="1996" spans="3:7" customFormat="1" x14ac:dyDescent="0.2">
      <c r="C1996" s="4"/>
      <c r="F1996" s="46"/>
      <c r="G1996" s="164"/>
    </row>
    <row r="1997" spans="3:7" customFormat="1" x14ac:dyDescent="0.2">
      <c r="C1997" s="4"/>
      <c r="F1997" s="46"/>
      <c r="G1997" s="164"/>
    </row>
    <row r="1998" spans="3:7" customFormat="1" x14ac:dyDescent="0.2">
      <c r="C1998" s="4"/>
      <c r="F1998" s="46"/>
      <c r="G1998" s="164"/>
    </row>
    <row r="1999" spans="3:7" customFormat="1" x14ac:dyDescent="0.2">
      <c r="C1999" s="4"/>
      <c r="F1999" s="46"/>
      <c r="G1999" s="164"/>
    </row>
    <row r="2000" spans="3:7" customFormat="1" x14ac:dyDescent="0.2">
      <c r="C2000" s="4"/>
      <c r="F2000" s="46"/>
      <c r="G2000" s="164"/>
    </row>
    <row r="2001" spans="3:7" customFormat="1" x14ac:dyDescent="0.2">
      <c r="C2001" s="4"/>
      <c r="F2001" s="46"/>
      <c r="G2001" s="164"/>
    </row>
    <row r="2002" spans="3:7" customFormat="1" x14ac:dyDescent="0.2">
      <c r="C2002" s="4"/>
      <c r="F2002" s="46"/>
      <c r="G2002" s="164"/>
    </row>
    <row r="2003" spans="3:7" customFormat="1" x14ac:dyDescent="0.2">
      <c r="C2003" s="4"/>
      <c r="F2003" s="46"/>
      <c r="G2003" s="164"/>
    </row>
    <row r="2004" spans="3:7" customFormat="1" x14ac:dyDescent="0.2">
      <c r="C2004" s="4"/>
      <c r="F2004" s="46"/>
      <c r="G2004" s="164"/>
    </row>
    <row r="2005" spans="3:7" customFormat="1" x14ac:dyDescent="0.2">
      <c r="C2005" s="4"/>
      <c r="F2005" s="46"/>
      <c r="G2005" s="164"/>
    </row>
    <row r="2006" spans="3:7" customFormat="1" x14ac:dyDescent="0.2">
      <c r="C2006" s="4"/>
      <c r="F2006" s="46"/>
      <c r="G2006" s="164"/>
    </row>
    <row r="2007" spans="3:7" customFormat="1" x14ac:dyDescent="0.2">
      <c r="C2007" s="4"/>
      <c r="F2007" s="46"/>
      <c r="G2007" s="164"/>
    </row>
    <row r="2008" spans="3:7" customFormat="1" x14ac:dyDescent="0.2">
      <c r="C2008" s="4"/>
      <c r="F2008" s="46"/>
      <c r="G2008" s="164"/>
    </row>
    <row r="2009" spans="3:7" customFormat="1" x14ac:dyDescent="0.2">
      <c r="C2009" s="4"/>
      <c r="F2009" s="46"/>
      <c r="G2009" s="164"/>
    </row>
    <row r="2010" spans="3:7" customFormat="1" x14ac:dyDescent="0.2">
      <c r="C2010" s="4"/>
      <c r="F2010" s="46"/>
      <c r="G2010" s="164"/>
    </row>
    <row r="2011" spans="3:7" customFormat="1" x14ac:dyDescent="0.2">
      <c r="C2011" s="4"/>
      <c r="F2011" s="46"/>
      <c r="G2011" s="164"/>
    </row>
    <row r="2012" spans="3:7" customFormat="1" x14ac:dyDescent="0.2">
      <c r="C2012" s="4"/>
      <c r="F2012" s="46"/>
      <c r="G2012" s="164"/>
    </row>
    <row r="2013" spans="3:7" customFormat="1" x14ac:dyDescent="0.2">
      <c r="C2013" s="4"/>
      <c r="F2013" s="46"/>
      <c r="G2013" s="164"/>
    </row>
    <row r="2014" spans="3:7" customFormat="1" x14ac:dyDescent="0.2">
      <c r="C2014" s="4"/>
      <c r="F2014" s="46"/>
      <c r="G2014" s="164"/>
    </row>
    <row r="2015" spans="3:7" customFormat="1" x14ac:dyDescent="0.2">
      <c r="C2015" s="4"/>
      <c r="F2015" s="46"/>
      <c r="G2015" s="164"/>
    </row>
    <row r="2016" spans="3:7" customFormat="1" x14ac:dyDescent="0.2">
      <c r="C2016" s="4"/>
      <c r="F2016" s="46"/>
      <c r="G2016" s="164"/>
    </row>
    <row r="2017" spans="3:7" customFormat="1" x14ac:dyDescent="0.2">
      <c r="C2017" s="4"/>
      <c r="F2017" s="46"/>
      <c r="G2017" s="164"/>
    </row>
    <row r="2018" spans="3:7" customFormat="1" x14ac:dyDescent="0.2">
      <c r="C2018" s="4"/>
      <c r="F2018" s="46"/>
      <c r="G2018" s="164"/>
    </row>
    <row r="2019" spans="3:7" customFormat="1" x14ac:dyDescent="0.2">
      <c r="C2019" s="4"/>
      <c r="F2019" s="46"/>
      <c r="G2019" s="164"/>
    </row>
    <row r="2020" spans="3:7" customFormat="1" x14ac:dyDescent="0.2">
      <c r="C2020" s="4"/>
      <c r="F2020" s="46"/>
      <c r="G2020" s="164"/>
    </row>
    <row r="2021" spans="3:7" customFormat="1" x14ac:dyDescent="0.2">
      <c r="C2021" s="4"/>
      <c r="F2021" s="46"/>
      <c r="G2021" s="164"/>
    </row>
    <row r="2022" spans="3:7" customFormat="1" x14ac:dyDescent="0.2">
      <c r="C2022" s="4"/>
      <c r="F2022" s="46"/>
      <c r="G2022" s="164"/>
    </row>
    <row r="2023" spans="3:7" customFormat="1" x14ac:dyDescent="0.2">
      <c r="C2023" s="4"/>
      <c r="F2023" s="46"/>
      <c r="G2023" s="164"/>
    </row>
    <row r="2024" spans="3:7" customFormat="1" x14ac:dyDescent="0.2">
      <c r="C2024" s="4"/>
      <c r="F2024" s="46"/>
      <c r="G2024" s="164"/>
    </row>
    <row r="2025" spans="3:7" customFormat="1" x14ac:dyDescent="0.2">
      <c r="C2025" s="4"/>
      <c r="F2025" s="46"/>
      <c r="G2025" s="164"/>
    </row>
    <row r="2026" spans="3:7" customFormat="1" x14ac:dyDescent="0.2">
      <c r="C2026" s="4"/>
      <c r="F2026" s="46"/>
      <c r="G2026" s="164"/>
    </row>
    <row r="2027" spans="3:7" customFormat="1" x14ac:dyDescent="0.2">
      <c r="C2027" s="4"/>
      <c r="F2027" s="46"/>
      <c r="G2027" s="164"/>
    </row>
    <row r="2028" spans="3:7" customFormat="1" x14ac:dyDescent="0.2">
      <c r="C2028" s="4"/>
      <c r="F2028" s="46"/>
      <c r="G2028" s="164"/>
    </row>
    <row r="2029" spans="3:7" customFormat="1" x14ac:dyDescent="0.2">
      <c r="C2029" s="4"/>
      <c r="F2029" s="46"/>
      <c r="G2029" s="164"/>
    </row>
    <row r="2030" spans="3:7" customFormat="1" x14ac:dyDescent="0.2">
      <c r="C2030" s="4"/>
      <c r="F2030" s="46"/>
      <c r="G2030" s="164"/>
    </row>
    <row r="2031" spans="3:7" customFormat="1" x14ac:dyDescent="0.2">
      <c r="C2031" s="4"/>
      <c r="F2031" s="46"/>
      <c r="G2031" s="164"/>
    </row>
    <row r="2032" spans="3:7" customFormat="1" x14ac:dyDescent="0.2">
      <c r="C2032" s="4"/>
      <c r="F2032" s="46"/>
      <c r="G2032" s="164"/>
    </row>
    <row r="2033" spans="3:7" customFormat="1" x14ac:dyDescent="0.2">
      <c r="C2033" s="4"/>
      <c r="F2033" s="46"/>
      <c r="G2033" s="164"/>
    </row>
    <row r="2034" spans="3:7" customFormat="1" x14ac:dyDescent="0.2">
      <c r="C2034" s="4"/>
      <c r="F2034" s="46"/>
      <c r="G2034" s="164"/>
    </row>
    <row r="2035" spans="3:7" customFormat="1" x14ac:dyDescent="0.2">
      <c r="C2035" s="4"/>
      <c r="F2035" s="46"/>
      <c r="G2035" s="164"/>
    </row>
    <row r="2036" spans="3:7" customFormat="1" x14ac:dyDescent="0.2">
      <c r="C2036" s="4"/>
      <c r="F2036" s="46"/>
      <c r="G2036" s="164"/>
    </row>
    <row r="2037" spans="3:7" customFormat="1" x14ac:dyDescent="0.2">
      <c r="C2037" s="4"/>
      <c r="F2037" s="46"/>
      <c r="G2037" s="164"/>
    </row>
    <row r="2038" spans="3:7" customFormat="1" x14ac:dyDescent="0.2">
      <c r="C2038" s="4"/>
      <c r="F2038" s="46"/>
      <c r="G2038" s="164"/>
    </row>
    <row r="2039" spans="3:7" customFormat="1" x14ac:dyDescent="0.2">
      <c r="C2039" s="4"/>
      <c r="F2039" s="46"/>
      <c r="G2039" s="164"/>
    </row>
    <row r="2040" spans="3:7" customFormat="1" x14ac:dyDescent="0.2">
      <c r="C2040" s="4"/>
      <c r="F2040" s="46"/>
      <c r="G2040" s="164"/>
    </row>
    <row r="2041" spans="3:7" customFormat="1" x14ac:dyDescent="0.2">
      <c r="C2041" s="4"/>
      <c r="F2041" s="46"/>
      <c r="G2041" s="164"/>
    </row>
    <row r="2042" spans="3:7" customFormat="1" x14ac:dyDescent="0.2">
      <c r="C2042" s="4"/>
      <c r="F2042" s="46"/>
      <c r="G2042" s="164"/>
    </row>
    <row r="2043" spans="3:7" customFormat="1" x14ac:dyDescent="0.2">
      <c r="C2043" s="4"/>
      <c r="F2043" s="46"/>
      <c r="G2043" s="164"/>
    </row>
    <row r="2044" spans="3:7" customFormat="1" x14ac:dyDescent="0.2">
      <c r="C2044" s="4"/>
      <c r="F2044" s="46"/>
      <c r="G2044" s="164"/>
    </row>
    <row r="2045" spans="3:7" customFormat="1" x14ac:dyDescent="0.2">
      <c r="C2045" s="4"/>
      <c r="F2045" s="46"/>
      <c r="G2045" s="164"/>
    </row>
    <row r="2046" spans="3:7" customFormat="1" x14ac:dyDescent="0.2">
      <c r="C2046" s="4"/>
      <c r="F2046" s="46"/>
      <c r="G2046" s="164"/>
    </row>
    <row r="2047" spans="3:7" customFormat="1" x14ac:dyDescent="0.2">
      <c r="C2047" s="4"/>
      <c r="F2047" s="46"/>
      <c r="G2047" s="164"/>
    </row>
    <row r="2048" spans="3:7" customFormat="1" x14ac:dyDescent="0.2">
      <c r="C2048" s="4"/>
      <c r="F2048" s="46"/>
      <c r="G2048" s="164"/>
    </row>
    <row r="2049" spans="3:7" customFormat="1" x14ac:dyDescent="0.2">
      <c r="C2049" s="4"/>
      <c r="F2049" s="46"/>
      <c r="G2049" s="164"/>
    </row>
    <row r="2050" spans="3:7" customFormat="1" x14ac:dyDescent="0.2">
      <c r="C2050" s="4"/>
      <c r="F2050" s="46"/>
      <c r="G2050" s="164"/>
    </row>
    <row r="2051" spans="3:7" customFormat="1" x14ac:dyDescent="0.2">
      <c r="C2051" s="4"/>
      <c r="F2051" s="46"/>
      <c r="G2051" s="164"/>
    </row>
    <row r="2052" spans="3:7" customFormat="1" x14ac:dyDescent="0.2">
      <c r="C2052" s="4"/>
      <c r="F2052" s="46"/>
      <c r="G2052" s="164"/>
    </row>
    <row r="2053" spans="3:7" customFormat="1" x14ac:dyDescent="0.2">
      <c r="C2053" s="4"/>
      <c r="F2053" s="46"/>
      <c r="G2053" s="164"/>
    </row>
    <row r="2054" spans="3:7" customFormat="1" x14ac:dyDescent="0.2">
      <c r="C2054" s="4"/>
      <c r="F2054" s="46"/>
      <c r="G2054" s="164"/>
    </row>
    <row r="2055" spans="3:7" customFormat="1" x14ac:dyDescent="0.2">
      <c r="C2055" s="4"/>
      <c r="F2055" s="46"/>
      <c r="G2055" s="164"/>
    </row>
    <row r="2056" spans="3:7" customFormat="1" x14ac:dyDescent="0.2">
      <c r="C2056" s="4"/>
      <c r="F2056" s="46"/>
      <c r="G2056" s="164"/>
    </row>
    <row r="2057" spans="3:7" customFormat="1" x14ac:dyDescent="0.2">
      <c r="C2057" s="4"/>
      <c r="F2057" s="46"/>
      <c r="G2057" s="164"/>
    </row>
    <row r="2058" spans="3:7" customFormat="1" x14ac:dyDescent="0.2">
      <c r="C2058" s="4"/>
      <c r="F2058" s="46"/>
      <c r="G2058" s="164"/>
    </row>
    <row r="2059" spans="3:7" customFormat="1" x14ac:dyDescent="0.2">
      <c r="C2059" s="4"/>
      <c r="F2059" s="46"/>
      <c r="G2059" s="164"/>
    </row>
    <row r="2060" spans="3:7" customFormat="1" x14ac:dyDescent="0.2">
      <c r="C2060" s="4"/>
      <c r="F2060" s="46"/>
      <c r="G2060" s="164"/>
    </row>
    <row r="2061" spans="3:7" customFormat="1" x14ac:dyDescent="0.2">
      <c r="C2061" s="4"/>
      <c r="F2061" s="46"/>
      <c r="G2061" s="164"/>
    </row>
    <row r="2062" spans="3:7" customFormat="1" x14ac:dyDescent="0.2">
      <c r="C2062" s="4"/>
      <c r="F2062" s="46"/>
      <c r="G2062" s="164"/>
    </row>
    <row r="2063" spans="3:7" customFormat="1" x14ac:dyDescent="0.2">
      <c r="C2063" s="4"/>
      <c r="F2063" s="46"/>
      <c r="G2063" s="164"/>
    </row>
    <row r="2064" spans="3:7" customFormat="1" x14ac:dyDescent="0.2">
      <c r="C2064" s="4"/>
      <c r="F2064" s="46"/>
      <c r="G2064" s="164"/>
    </row>
    <row r="2065" spans="3:7" customFormat="1" x14ac:dyDescent="0.2">
      <c r="C2065" s="4"/>
      <c r="F2065" s="46"/>
      <c r="G2065" s="164"/>
    </row>
    <row r="2066" spans="3:7" customFormat="1" x14ac:dyDescent="0.2">
      <c r="C2066" s="4"/>
      <c r="F2066" s="46"/>
      <c r="G2066" s="164"/>
    </row>
    <row r="2067" spans="3:7" customFormat="1" x14ac:dyDescent="0.2">
      <c r="C2067" s="4"/>
      <c r="F2067" s="46"/>
      <c r="G2067" s="164"/>
    </row>
    <row r="2068" spans="3:7" customFormat="1" x14ac:dyDescent="0.2">
      <c r="C2068" s="4"/>
      <c r="F2068" s="46"/>
      <c r="G2068" s="164"/>
    </row>
    <row r="2069" spans="3:7" customFormat="1" x14ac:dyDescent="0.2">
      <c r="C2069" s="4"/>
      <c r="F2069" s="46"/>
      <c r="G2069" s="164"/>
    </row>
    <row r="2070" spans="3:7" customFormat="1" x14ac:dyDescent="0.2">
      <c r="C2070" s="4"/>
      <c r="F2070" s="46"/>
      <c r="G2070" s="164"/>
    </row>
    <row r="2071" spans="3:7" customFormat="1" x14ac:dyDescent="0.2">
      <c r="C2071" s="7"/>
      <c r="F2071" s="46"/>
      <c r="G2071" s="164"/>
    </row>
    <row r="2072" spans="3:7" customFormat="1" x14ac:dyDescent="0.2">
      <c r="C2072" s="4"/>
      <c r="F2072" s="46"/>
      <c r="G2072" s="164"/>
    </row>
    <row r="2073" spans="3:7" customFormat="1" x14ac:dyDescent="0.2">
      <c r="C2073" s="4"/>
      <c r="F2073" s="46"/>
      <c r="G2073" s="164"/>
    </row>
    <row r="2074" spans="3:7" customFormat="1" x14ac:dyDescent="0.2">
      <c r="C2074" s="4"/>
      <c r="F2074" s="46"/>
      <c r="G2074" s="164"/>
    </row>
    <row r="2075" spans="3:7" customFormat="1" x14ac:dyDescent="0.2">
      <c r="C2075" s="4"/>
      <c r="F2075" s="46"/>
      <c r="G2075" s="164"/>
    </row>
    <row r="2076" spans="3:7" customFormat="1" x14ac:dyDescent="0.2">
      <c r="C2076" s="4"/>
      <c r="F2076" s="46"/>
      <c r="G2076" s="164"/>
    </row>
    <row r="2077" spans="3:7" customFormat="1" x14ac:dyDescent="0.2">
      <c r="C2077" s="4"/>
      <c r="F2077" s="46"/>
      <c r="G2077" s="164"/>
    </row>
    <row r="2078" spans="3:7" customFormat="1" x14ac:dyDescent="0.2">
      <c r="C2078" s="4"/>
      <c r="F2078" s="46"/>
      <c r="G2078" s="164"/>
    </row>
    <row r="2079" spans="3:7" customFormat="1" x14ac:dyDescent="0.2">
      <c r="C2079" s="4"/>
      <c r="F2079" s="46"/>
      <c r="G2079" s="164"/>
    </row>
    <row r="2080" spans="3:7" customFormat="1" x14ac:dyDescent="0.2">
      <c r="C2080" s="4"/>
      <c r="F2080" s="46"/>
      <c r="G2080" s="164"/>
    </row>
    <row r="2081" spans="3:7" customFormat="1" x14ac:dyDescent="0.2">
      <c r="C2081" s="4"/>
      <c r="F2081" s="46"/>
      <c r="G2081" s="164"/>
    </row>
    <row r="2082" spans="3:7" customFormat="1" x14ac:dyDescent="0.2">
      <c r="C2082" s="4"/>
      <c r="F2082" s="46"/>
      <c r="G2082" s="164"/>
    </row>
    <row r="2083" spans="3:7" customFormat="1" x14ac:dyDescent="0.2">
      <c r="C2083" s="4"/>
      <c r="F2083" s="46"/>
      <c r="G2083" s="164"/>
    </row>
    <row r="2084" spans="3:7" customFormat="1" x14ac:dyDescent="0.2">
      <c r="C2084" s="4"/>
      <c r="F2084" s="46"/>
      <c r="G2084" s="164"/>
    </row>
    <row r="2085" spans="3:7" customFormat="1" x14ac:dyDescent="0.2">
      <c r="C2085" s="4"/>
      <c r="F2085" s="46"/>
      <c r="G2085" s="164"/>
    </row>
    <row r="2086" spans="3:7" customFormat="1" x14ac:dyDescent="0.2">
      <c r="C2086" s="4"/>
      <c r="F2086" s="46"/>
      <c r="G2086" s="164"/>
    </row>
    <row r="2087" spans="3:7" customFormat="1" x14ac:dyDescent="0.2">
      <c r="C2087" s="4"/>
      <c r="F2087" s="46"/>
      <c r="G2087" s="164"/>
    </row>
    <row r="2088" spans="3:7" customFormat="1" x14ac:dyDescent="0.2">
      <c r="C2088" s="4"/>
      <c r="F2088" s="46"/>
      <c r="G2088" s="164"/>
    </row>
    <row r="2089" spans="3:7" customFormat="1" x14ac:dyDescent="0.2">
      <c r="C2089" s="4"/>
      <c r="F2089" s="46"/>
      <c r="G2089" s="164"/>
    </row>
    <row r="2090" spans="3:7" customFormat="1" x14ac:dyDescent="0.2">
      <c r="C2090" s="4"/>
      <c r="F2090" s="46"/>
      <c r="G2090" s="164"/>
    </row>
    <row r="2091" spans="3:7" customFormat="1" x14ac:dyDescent="0.2">
      <c r="C2091" s="4"/>
      <c r="F2091" s="46"/>
      <c r="G2091" s="164"/>
    </row>
    <row r="2092" spans="3:7" customFormat="1" x14ac:dyDescent="0.2">
      <c r="C2092" s="4"/>
      <c r="F2092" s="46"/>
      <c r="G2092" s="164"/>
    </row>
    <row r="2093" spans="3:7" customFormat="1" x14ac:dyDescent="0.2">
      <c r="C2093" s="4"/>
      <c r="F2093" s="46"/>
      <c r="G2093" s="164"/>
    </row>
    <row r="2094" spans="3:7" customFormat="1" x14ac:dyDescent="0.2">
      <c r="C2094" s="4"/>
      <c r="F2094" s="46"/>
      <c r="G2094" s="164"/>
    </row>
    <row r="2095" spans="3:7" customFormat="1" x14ac:dyDescent="0.2">
      <c r="C2095" s="4"/>
      <c r="F2095" s="46"/>
      <c r="G2095" s="164"/>
    </row>
    <row r="2096" spans="3:7" customFormat="1" x14ac:dyDescent="0.2">
      <c r="C2096" s="4"/>
      <c r="F2096" s="46"/>
      <c r="G2096" s="164"/>
    </row>
    <row r="2097" spans="3:7" customFormat="1" x14ac:dyDescent="0.2">
      <c r="C2097" s="4"/>
      <c r="F2097" s="46"/>
      <c r="G2097" s="164"/>
    </row>
    <row r="2098" spans="3:7" customFormat="1" x14ac:dyDescent="0.2">
      <c r="C2098" s="4"/>
      <c r="F2098" s="46"/>
      <c r="G2098" s="164"/>
    </row>
    <row r="2099" spans="3:7" customFormat="1" x14ac:dyDescent="0.2">
      <c r="C2099" s="4"/>
      <c r="F2099" s="46"/>
      <c r="G2099" s="164"/>
    </row>
    <row r="2100" spans="3:7" customFormat="1" x14ac:dyDescent="0.2">
      <c r="C2100" s="4"/>
      <c r="F2100" s="46"/>
      <c r="G2100" s="164"/>
    </row>
    <row r="2101" spans="3:7" customFormat="1" x14ac:dyDescent="0.2">
      <c r="C2101" s="4"/>
      <c r="F2101" s="46"/>
      <c r="G2101" s="164"/>
    </row>
    <row r="2102" spans="3:7" customFormat="1" x14ac:dyDescent="0.2">
      <c r="C2102" s="4"/>
      <c r="F2102" s="46"/>
      <c r="G2102" s="164"/>
    </row>
    <row r="2103" spans="3:7" customFormat="1" x14ac:dyDescent="0.2">
      <c r="C2103" s="4"/>
      <c r="F2103" s="46"/>
      <c r="G2103" s="164"/>
    </row>
    <row r="2104" spans="3:7" customFormat="1" x14ac:dyDescent="0.2">
      <c r="C2104" s="4"/>
      <c r="F2104" s="46"/>
      <c r="G2104" s="164"/>
    </row>
    <row r="2105" spans="3:7" customFormat="1" x14ac:dyDescent="0.2">
      <c r="C2105" s="4"/>
      <c r="F2105" s="46"/>
      <c r="G2105" s="164"/>
    </row>
    <row r="2106" spans="3:7" customFormat="1" x14ac:dyDescent="0.2">
      <c r="C2106" s="4"/>
      <c r="F2106" s="46"/>
      <c r="G2106" s="164"/>
    </row>
    <row r="2107" spans="3:7" customFormat="1" x14ac:dyDescent="0.2">
      <c r="C2107" s="4"/>
      <c r="F2107" s="46"/>
      <c r="G2107" s="164"/>
    </row>
    <row r="2108" spans="3:7" customFormat="1" x14ac:dyDescent="0.2">
      <c r="C2108" s="4"/>
      <c r="F2108" s="46"/>
      <c r="G2108" s="164"/>
    </row>
    <row r="2109" spans="3:7" customFormat="1" x14ac:dyDescent="0.2">
      <c r="C2109" s="4"/>
      <c r="F2109" s="46"/>
      <c r="G2109" s="164"/>
    </row>
    <row r="2110" spans="3:7" customFormat="1" x14ac:dyDescent="0.2">
      <c r="C2110" s="4"/>
      <c r="F2110" s="46"/>
      <c r="G2110" s="164"/>
    </row>
    <row r="2111" spans="3:7" customFormat="1" x14ac:dyDescent="0.2">
      <c r="C2111" s="4"/>
      <c r="F2111" s="46"/>
      <c r="G2111" s="164"/>
    </row>
    <row r="2112" spans="3:7" customFormat="1" x14ac:dyDescent="0.2">
      <c r="C2112" s="4"/>
      <c r="F2112" s="46"/>
      <c r="G2112" s="164"/>
    </row>
    <row r="2113" spans="3:7" customFormat="1" x14ac:dyDescent="0.2">
      <c r="C2113" s="4"/>
      <c r="F2113" s="46"/>
      <c r="G2113" s="164"/>
    </row>
    <row r="2114" spans="3:7" customFormat="1" x14ac:dyDescent="0.2">
      <c r="C2114" s="4"/>
      <c r="F2114" s="46"/>
      <c r="G2114" s="164"/>
    </row>
    <row r="2115" spans="3:7" customFormat="1" x14ac:dyDescent="0.2">
      <c r="C2115" s="4"/>
      <c r="F2115" s="46"/>
      <c r="G2115" s="164"/>
    </row>
    <row r="2116" spans="3:7" customFormat="1" x14ac:dyDescent="0.2">
      <c r="C2116" s="4"/>
      <c r="F2116" s="46"/>
      <c r="G2116" s="164"/>
    </row>
    <row r="2117" spans="3:7" customFormat="1" x14ac:dyDescent="0.2">
      <c r="C2117" s="4"/>
      <c r="F2117" s="46"/>
      <c r="G2117" s="164"/>
    </row>
    <row r="2118" spans="3:7" customFormat="1" x14ac:dyDescent="0.2">
      <c r="C2118" s="4"/>
      <c r="F2118" s="46"/>
      <c r="G2118" s="164"/>
    </row>
    <row r="2119" spans="3:7" customFormat="1" x14ac:dyDescent="0.2">
      <c r="C2119" s="4"/>
      <c r="F2119" s="46"/>
      <c r="G2119" s="164"/>
    </row>
    <row r="2120" spans="3:7" customFormat="1" x14ac:dyDescent="0.2">
      <c r="C2120" s="4"/>
      <c r="F2120" s="46"/>
      <c r="G2120" s="164"/>
    </row>
    <row r="2121" spans="3:7" customFormat="1" x14ac:dyDescent="0.2">
      <c r="C2121" s="4"/>
      <c r="F2121" s="46"/>
      <c r="G2121" s="164"/>
    </row>
    <row r="2122" spans="3:7" customFormat="1" x14ac:dyDescent="0.2">
      <c r="C2122" s="4"/>
      <c r="F2122" s="46"/>
      <c r="G2122" s="164"/>
    </row>
    <row r="2123" spans="3:7" customFormat="1" x14ac:dyDescent="0.2">
      <c r="C2123" s="4"/>
      <c r="F2123" s="46"/>
      <c r="G2123" s="164"/>
    </row>
    <row r="2124" spans="3:7" customFormat="1" x14ac:dyDescent="0.2">
      <c r="C2124" s="4"/>
      <c r="F2124" s="46"/>
      <c r="G2124" s="164"/>
    </row>
    <row r="2125" spans="3:7" customFormat="1" x14ac:dyDescent="0.2">
      <c r="C2125" s="4"/>
      <c r="F2125" s="46"/>
      <c r="G2125" s="164"/>
    </row>
    <row r="2126" spans="3:7" customFormat="1" x14ac:dyDescent="0.2">
      <c r="C2126" s="4"/>
      <c r="F2126" s="46"/>
      <c r="G2126" s="164"/>
    </row>
    <row r="2127" spans="3:7" customFormat="1" x14ac:dyDescent="0.2">
      <c r="C2127" s="4"/>
      <c r="F2127" s="46"/>
      <c r="G2127" s="164"/>
    </row>
    <row r="2128" spans="3:7" customFormat="1" x14ac:dyDescent="0.2">
      <c r="C2128" s="4"/>
      <c r="F2128" s="46"/>
      <c r="G2128" s="164"/>
    </row>
    <row r="2129" spans="3:7" customFormat="1" x14ac:dyDescent="0.2">
      <c r="C2129" s="3"/>
      <c r="F2129" s="46"/>
      <c r="G2129" s="164"/>
    </row>
    <row r="2130" spans="3:7" customFormat="1" x14ac:dyDescent="0.2">
      <c r="C2130" s="4"/>
      <c r="F2130" s="46"/>
      <c r="G2130" s="164"/>
    </row>
    <row r="2131" spans="3:7" customFormat="1" x14ac:dyDescent="0.2">
      <c r="C2131" s="4"/>
      <c r="F2131" s="46"/>
      <c r="G2131" s="164"/>
    </row>
    <row r="2132" spans="3:7" customFormat="1" x14ac:dyDescent="0.2">
      <c r="C2132" s="4"/>
      <c r="F2132" s="46"/>
      <c r="G2132" s="164"/>
    </row>
    <row r="2133" spans="3:7" customFormat="1" x14ac:dyDescent="0.2">
      <c r="C2133" s="4"/>
      <c r="F2133" s="46"/>
      <c r="G2133" s="164"/>
    </row>
    <row r="2134" spans="3:7" customFormat="1" x14ac:dyDescent="0.2">
      <c r="C2134" s="4"/>
      <c r="F2134" s="46"/>
      <c r="G2134" s="164"/>
    </row>
    <row r="2135" spans="3:7" customFormat="1" x14ac:dyDescent="0.2">
      <c r="C2135" s="4"/>
      <c r="F2135" s="46"/>
      <c r="G2135" s="164"/>
    </row>
    <row r="2136" spans="3:7" customFormat="1" x14ac:dyDescent="0.2">
      <c r="C2136" s="4"/>
      <c r="F2136" s="46"/>
      <c r="G2136" s="164"/>
    </row>
    <row r="2137" spans="3:7" customFormat="1" x14ac:dyDescent="0.2">
      <c r="C2137" s="4"/>
      <c r="F2137" s="46"/>
      <c r="G2137" s="164"/>
    </row>
    <row r="2138" spans="3:7" customFormat="1" x14ac:dyDescent="0.2">
      <c r="C2138" s="4"/>
      <c r="F2138" s="46"/>
      <c r="G2138" s="164"/>
    </row>
    <row r="2139" spans="3:7" customFormat="1" x14ac:dyDescent="0.2">
      <c r="C2139" s="4"/>
      <c r="F2139" s="46"/>
      <c r="G2139" s="164"/>
    </row>
    <row r="2140" spans="3:7" customFormat="1" x14ac:dyDescent="0.2">
      <c r="C2140" s="4"/>
      <c r="F2140" s="46"/>
      <c r="G2140" s="164"/>
    </row>
    <row r="2141" spans="3:7" customFormat="1" x14ac:dyDescent="0.2">
      <c r="C2141" s="4"/>
      <c r="F2141" s="46"/>
      <c r="G2141" s="164"/>
    </row>
    <row r="2142" spans="3:7" customFormat="1" x14ac:dyDescent="0.2">
      <c r="C2142" s="4"/>
      <c r="F2142" s="46"/>
      <c r="G2142" s="164"/>
    </row>
    <row r="2143" spans="3:7" customFormat="1" x14ac:dyDescent="0.2">
      <c r="C2143" s="4"/>
      <c r="F2143" s="46"/>
      <c r="G2143" s="164"/>
    </row>
    <row r="2144" spans="3:7" customFormat="1" x14ac:dyDescent="0.2">
      <c r="C2144" s="4"/>
      <c r="F2144" s="46"/>
      <c r="G2144" s="164"/>
    </row>
    <row r="2145" spans="3:7" customFormat="1" x14ac:dyDescent="0.2">
      <c r="C2145" s="4"/>
      <c r="F2145" s="46"/>
      <c r="G2145" s="164"/>
    </row>
    <row r="2146" spans="3:7" customFormat="1" x14ac:dyDescent="0.2">
      <c r="C2146" s="4"/>
      <c r="F2146" s="46"/>
      <c r="G2146" s="164"/>
    </row>
    <row r="2147" spans="3:7" customFormat="1" x14ac:dyDescent="0.2">
      <c r="C2147" s="4"/>
      <c r="F2147" s="46"/>
      <c r="G2147" s="164"/>
    </row>
    <row r="2148" spans="3:7" customFormat="1" x14ac:dyDescent="0.2">
      <c r="C2148" s="4"/>
      <c r="F2148" s="46"/>
      <c r="G2148" s="164"/>
    </row>
    <row r="2149" spans="3:7" customFormat="1" x14ac:dyDescent="0.2">
      <c r="C2149" s="3"/>
      <c r="F2149" s="46"/>
      <c r="G2149" s="164"/>
    </row>
    <row r="2150" spans="3:7" customFormat="1" x14ac:dyDescent="0.2">
      <c r="C2150" s="9"/>
      <c r="F2150" s="46"/>
      <c r="G2150" s="164"/>
    </row>
    <row r="2151" spans="3:7" customFormat="1" x14ac:dyDescent="0.2">
      <c r="C2151" s="4"/>
      <c r="F2151" s="46"/>
      <c r="G2151" s="164"/>
    </row>
    <row r="2152" spans="3:7" customFormat="1" x14ac:dyDescent="0.2">
      <c r="C2152" s="4"/>
      <c r="F2152" s="46"/>
      <c r="G2152" s="164"/>
    </row>
    <row r="2153" spans="3:7" customFormat="1" x14ac:dyDescent="0.2">
      <c r="C2153" s="4"/>
      <c r="F2153" s="46"/>
      <c r="G2153" s="164"/>
    </row>
    <row r="2154" spans="3:7" customFormat="1" x14ac:dyDescent="0.2">
      <c r="C2154" s="4"/>
      <c r="F2154" s="46"/>
      <c r="G2154" s="164"/>
    </row>
    <row r="2155" spans="3:7" customFormat="1" x14ac:dyDescent="0.2">
      <c r="C2155" s="4"/>
      <c r="F2155" s="46"/>
      <c r="G2155" s="164"/>
    </row>
    <row r="2156" spans="3:7" customFormat="1" x14ac:dyDescent="0.2">
      <c r="C2156" s="4"/>
      <c r="F2156" s="46"/>
      <c r="G2156" s="164"/>
    </row>
    <row r="2157" spans="3:7" customFormat="1" x14ac:dyDescent="0.2">
      <c r="C2157" s="4"/>
      <c r="F2157" s="46"/>
      <c r="G2157" s="164"/>
    </row>
    <row r="2158" spans="3:7" customFormat="1" x14ac:dyDescent="0.2">
      <c r="C2158" s="4"/>
      <c r="F2158" s="46"/>
      <c r="G2158" s="164"/>
    </row>
    <row r="2159" spans="3:7" customFormat="1" x14ac:dyDescent="0.2">
      <c r="C2159" s="4"/>
      <c r="F2159" s="46"/>
      <c r="G2159" s="164"/>
    </row>
    <row r="2160" spans="3:7" customFormat="1" x14ac:dyDescent="0.2">
      <c r="C2160" s="4"/>
      <c r="F2160" s="46"/>
      <c r="G2160" s="164"/>
    </row>
    <row r="2161" spans="3:7" customFormat="1" x14ac:dyDescent="0.2">
      <c r="C2161" s="4"/>
      <c r="F2161" s="46"/>
      <c r="G2161" s="164"/>
    </row>
    <row r="2162" spans="3:7" customFormat="1" x14ac:dyDescent="0.2">
      <c r="C2162" s="4"/>
      <c r="F2162" s="46"/>
      <c r="G2162" s="164"/>
    </row>
    <row r="2163" spans="3:7" customFormat="1" x14ac:dyDescent="0.2">
      <c r="C2163" s="4"/>
      <c r="F2163" s="46"/>
      <c r="G2163" s="164"/>
    </row>
    <row r="2164" spans="3:7" customFormat="1" x14ac:dyDescent="0.2">
      <c r="C2164" s="4"/>
      <c r="F2164" s="46"/>
      <c r="G2164" s="164"/>
    </row>
    <row r="2165" spans="3:7" customFormat="1" x14ac:dyDescent="0.2">
      <c r="C2165" s="4"/>
      <c r="F2165" s="46"/>
      <c r="G2165" s="164"/>
    </row>
    <row r="2166" spans="3:7" customFormat="1" x14ac:dyDescent="0.2">
      <c r="C2166" s="4"/>
      <c r="F2166" s="46"/>
      <c r="G2166" s="164"/>
    </row>
    <row r="2167" spans="3:7" customFormat="1" x14ac:dyDescent="0.2">
      <c r="C2167" s="4"/>
      <c r="F2167" s="46"/>
      <c r="G2167" s="164"/>
    </row>
    <row r="2168" spans="3:7" customFormat="1" x14ac:dyDescent="0.2">
      <c r="C2168" s="4"/>
      <c r="F2168" s="46"/>
      <c r="G2168" s="164"/>
    </row>
    <row r="2169" spans="3:7" customFormat="1" x14ac:dyDescent="0.2">
      <c r="C2169" s="4"/>
      <c r="F2169" s="46"/>
      <c r="G2169" s="164"/>
    </row>
    <row r="2170" spans="3:7" customFormat="1" x14ac:dyDescent="0.2">
      <c r="C2170" s="4"/>
      <c r="F2170" s="46"/>
      <c r="G2170" s="164"/>
    </row>
    <row r="2171" spans="3:7" customFormat="1" x14ac:dyDescent="0.2">
      <c r="C2171" s="4"/>
      <c r="F2171" s="46"/>
      <c r="G2171" s="164"/>
    </row>
    <row r="2172" spans="3:7" customFormat="1" x14ac:dyDescent="0.2">
      <c r="C2172" s="4"/>
      <c r="F2172" s="46"/>
      <c r="G2172" s="164"/>
    </row>
    <row r="2173" spans="3:7" customFormat="1" x14ac:dyDescent="0.2">
      <c r="C2173" s="4"/>
      <c r="F2173" s="46"/>
      <c r="G2173" s="164"/>
    </row>
    <row r="2174" spans="3:7" customFormat="1" x14ac:dyDescent="0.2">
      <c r="C2174" s="4"/>
      <c r="F2174" s="46"/>
      <c r="G2174" s="164"/>
    </row>
    <row r="2175" spans="3:7" customFormat="1" x14ac:dyDescent="0.2">
      <c r="C2175" s="4"/>
      <c r="F2175" s="46"/>
      <c r="G2175" s="164"/>
    </row>
    <row r="2176" spans="3:7" customFormat="1" x14ac:dyDescent="0.2">
      <c r="C2176" s="4"/>
      <c r="F2176" s="46"/>
      <c r="G2176" s="164"/>
    </row>
    <row r="2177" spans="3:7" customFormat="1" ht="15" thickBot="1" x14ac:dyDescent="0.25">
      <c r="C2177" s="130"/>
      <c r="F2177" s="46"/>
      <c r="G2177" s="164"/>
    </row>
    <row r="2179" spans="3:7" customFormat="1" x14ac:dyDescent="0.2">
      <c r="F2179" s="46"/>
      <c r="G2179" s="164"/>
    </row>
    <row r="2180" spans="3:7" customFormat="1" x14ac:dyDescent="0.2">
      <c r="F2180" s="46"/>
      <c r="G2180" s="164"/>
    </row>
  </sheetData>
  <phoneticPr fontId="54" type="noConversion"/>
  <pageMargins left="0.35433070866141736" right="0.15748031496062992" top="0.78740157480314965" bottom="0.59055118110236227" header="0" footer="0.39370078740157483"/>
  <pageSetup paperSize="9" orientation="portrait" horizontalDpi="300" verticalDpi="300" r:id="rId1"/>
  <headerFooter alignWithMargins="0">
    <oddFooter>&amp;C&amp;8&amp;P/&amp;N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B5BE4-5493-4C12-B634-D6109DC13BE1}">
  <dimension ref="A1:FY247"/>
  <sheetViews>
    <sheetView showGridLines="0" topLeftCell="A205" workbookViewId="0">
      <selection activeCell="D137" sqref="D137"/>
    </sheetView>
  </sheetViews>
  <sheetFormatPr defaultColWidth="8.5703125" defaultRowHeight="15" x14ac:dyDescent="0.2"/>
  <cols>
    <col min="1" max="1" width="6.42578125" style="260" customWidth="1"/>
    <col min="2" max="2" width="5" style="260" bestFit="1" customWidth="1"/>
    <col min="3" max="3" width="2.5703125" style="260" customWidth="1"/>
    <col min="4" max="4" width="52.42578125" style="260" customWidth="1"/>
    <col min="5" max="5" width="10.85546875" style="260" customWidth="1"/>
    <col min="6" max="16384" width="8.5703125" style="260"/>
  </cols>
  <sheetData>
    <row r="1" spans="1:5" ht="15.75" x14ac:dyDescent="0.2">
      <c r="A1" s="503" t="s">
        <v>2840</v>
      </c>
      <c r="B1" s="503"/>
      <c r="C1" s="503"/>
      <c r="D1" s="503"/>
      <c r="E1" s="503"/>
    </row>
    <row r="2" spans="1:5" ht="15.75" thickBot="1" x14ac:dyDescent="0.25">
      <c r="A2" s="262"/>
      <c r="B2" s="263"/>
      <c r="C2" s="263"/>
      <c r="D2" s="357"/>
      <c r="E2" s="265"/>
    </row>
    <row r="3" spans="1:5" ht="15.75" thickBot="1" x14ac:dyDescent="0.25">
      <c r="A3" s="504" t="s">
        <v>363</v>
      </c>
      <c r="B3" s="505"/>
      <c r="C3" s="506"/>
      <c r="D3" s="507" t="s">
        <v>364</v>
      </c>
      <c r="E3" s="484" t="s">
        <v>2783</v>
      </c>
    </row>
    <row r="4" spans="1:5" ht="15.75" thickBot="1" x14ac:dyDescent="0.25">
      <c r="A4" s="358" t="s">
        <v>367</v>
      </c>
      <c r="B4" s="509" t="s">
        <v>368</v>
      </c>
      <c r="C4" s="510"/>
      <c r="D4" s="508"/>
      <c r="E4" s="485"/>
    </row>
    <row r="5" spans="1:5" ht="15" customHeight="1" x14ac:dyDescent="0.2">
      <c r="A5" s="359"/>
      <c r="B5" s="360"/>
      <c r="C5" s="361"/>
      <c r="D5" s="362" t="s">
        <v>2841</v>
      </c>
      <c r="E5" s="363"/>
    </row>
    <row r="6" spans="1:5" s="369" customFormat="1" ht="15" customHeight="1" x14ac:dyDescent="0.2">
      <c r="A6" s="364">
        <v>10350</v>
      </c>
      <c r="B6" s="365" t="s">
        <v>2842</v>
      </c>
      <c r="C6" s="366" t="s">
        <v>2843</v>
      </c>
      <c r="D6" s="367" t="s">
        <v>2844</v>
      </c>
      <c r="E6" s="368">
        <v>4</v>
      </c>
    </row>
    <row r="7" spans="1:5" ht="15" customHeight="1" x14ac:dyDescent="0.2">
      <c r="A7" s="370"/>
      <c r="B7" s="371"/>
      <c r="C7" s="372"/>
      <c r="D7" s="373" t="s">
        <v>2845</v>
      </c>
      <c r="E7" s="374"/>
    </row>
    <row r="8" spans="1:5" ht="15" customHeight="1" x14ac:dyDescent="0.2">
      <c r="A8" s="375">
        <v>10170</v>
      </c>
      <c r="B8" s="376" t="s">
        <v>1951</v>
      </c>
      <c r="C8" s="377"/>
      <c r="D8" s="378" t="s">
        <v>2556</v>
      </c>
      <c r="E8" s="379">
        <v>12</v>
      </c>
    </row>
    <row r="9" spans="1:5" ht="15" customHeight="1" x14ac:dyDescent="0.2">
      <c r="A9" s="375">
        <v>10123</v>
      </c>
      <c r="B9" s="376" t="s">
        <v>516</v>
      </c>
      <c r="C9" s="377"/>
      <c r="D9" s="378" t="s">
        <v>2846</v>
      </c>
      <c r="E9" s="379">
        <v>7</v>
      </c>
    </row>
    <row r="10" spans="1:5" ht="15" customHeight="1" x14ac:dyDescent="0.2">
      <c r="A10" s="375">
        <v>10120</v>
      </c>
      <c r="B10" s="376" t="s">
        <v>514</v>
      </c>
      <c r="C10" s="377"/>
      <c r="D10" s="378" t="s">
        <v>2847</v>
      </c>
      <c r="E10" s="379">
        <v>7</v>
      </c>
    </row>
    <row r="11" spans="1:5" ht="15" customHeight="1" x14ac:dyDescent="0.2">
      <c r="A11" s="375">
        <v>10135</v>
      </c>
      <c r="B11" s="376" t="s">
        <v>2407</v>
      </c>
      <c r="C11" s="377"/>
      <c r="D11" s="378" t="s">
        <v>2848</v>
      </c>
      <c r="E11" s="379">
        <v>10</v>
      </c>
    </row>
    <row r="12" spans="1:5" ht="15" customHeight="1" x14ac:dyDescent="0.2">
      <c r="A12" s="375">
        <v>10140</v>
      </c>
      <c r="B12" s="376" t="s">
        <v>1832</v>
      </c>
      <c r="C12" s="377"/>
      <c r="D12" s="378" t="s">
        <v>2849</v>
      </c>
      <c r="E12" s="379">
        <v>14</v>
      </c>
    </row>
    <row r="13" spans="1:5" ht="15" customHeight="1" x14ac:dyDescent="0.2">
      <c r="A13" s="375">
        <v>10150</v>
      </c>
      <c r="B13" s="376" t="s">
        <v>2033</v>
      </c>
      <c r="C13" s="377"/>
      <c r="D13" s="378" t="s">
        <v>2850</v>
      </c>
      <c r="E13" s="379">
        <v>7</v>
      </c>
    </row>
    <row r="14" spans="1:5" ht="15" customHeight="1" x14ac:dyDescent="0.2">
      <c r="A14" s="375">
        <v>10151</v>
      </c>
      <c r="B14" s="376" t="s">
        <v>2111</v>
      </c>
      <c r="C14" s="377"/>
      <c r="D14" s="378" t="s">
        <v>2851</v>
      </c>
      <c r="E14" s="379">
        <v>10</v>
      </c>
    </row>
    <row r="15" spans="1:5" ht="15" customHeight="1" x14ac:dyDescent="0.2">
      <c r="A15" s="375">
        <v>10220</v>
      </c>
      <c r="B15" s="376" t="s">
        <v>1596</v>
      </c>
      <c r="C15" s="377"/>
      <c r="D15" s="378" t="s">
        <v>2852</v>
      </c>
      <c r="E15" s="379">
        <v>7</v>
      </c>
    </row>
    <row r="16" spans="1:5" ht="15" customHeight="1" x14ac:dyDescent="0.2">
      <c r="A16" s="375">
        <v>10070</v>
      </c>
      <c r="B16" s="376" t="s">
        <v>503</v>
      </c>
      <c r="C16" s="377"/>
      <c r="D16" s="378" t="s">
        <v>2853</v>
      </c>
      <c r="E16" s="379">
        <v>10</v>
      </c>
    </row>
    <row r="17" spans="1:6" ht="15" customHeight="1" x14ac:dyDescent="0.2">
      <c r="A17" s="375">
        <v>10010</v>
      </c>
      <c r="B17" s="376" t="s">
        <v>905</v>
      </c>
      <c r="C17" s="377"/>
      <c r="D17" s="378" t="s">
        <v>2854</v>
      </c>
      <c r="E17" s="379">
        <v>7</v>
      </c>
    </row>
    <row r="18" spans="1:6" ht="15" customHeight="1" x14ac:dyDescent="0.2">
      <c r="A18" s="375">
        <v>10190</v>
      </c>
      <c r="B18" s="376" t="s">
        <v>1056</v>
      </c>
      <c r="C18" s="377"/>
      <c r="D18" s="378" t="s">
        <v>2855</v>
      </c>
      <c r="E18" s="379">
        <v>7</v>
      </c>
    </row>
    <row r="19" spans="1:6" ht="15" customHeight="1" x14ac:dyDescent="0.2">
      <c r="A19" s="375">
        <v>10060</v>
      </c>
      <c r="B19" s="376" t="s">
        <v>2024</v>
      </c>
      <c r="C19" s="377"/>
      <c r="D19" s="378" t="s">
        <v>2856</v>
      </c>
      <c r="E19" s="379">
        <v>7</v>
      </c>
    </row>
    <row r="20" spans="1:6" ht="15" customHeight="1" x14ac:dyDescent="0.2">
      <c r="A20" s="375">
        <v>10004</v>
      </c>
      <c r="B20" s="376" t="s">
        <v>2406</v>
      </c>
      <c r="C20" s="377"/>
      <c r="D20" s="378" t="s">
        <v>2857</v>
      </c>
      <c r="E20" s="379">
        <v>7</v>
      </c>
    </row>
    <row r="21" spans="1:6" ht="15" customHeight="1" x14ac:dyDescent="0.2">
      <c r="A21" s="375">
        <v>10005</v>
      </c>
      <c r="B21" s="376" t="s">
        <v>947</v>
      </c>
      <c r="C21" s="377"/>
      <c r="D21" s="378" t="s">
        <v>2858</v>
      </c>
      <c r="E21" s="379">
        <v>10</v>
      </c>
    </row>
    <row r="22" spans="1:6" ht="15" customHeight="1" x14ac:dyDescent="0.2">
      <c r="A22" s="375">
        <v>10075</v>
      </c>
      <c r="B22" s="376" t="s">
        <v>1060</v>
      </c>
      <c r="C22" s="377"/>
      <c r="D22" s="378" t="s">
        <v>2859</v>
      </c>
      <c r="E22" s="379">
        <v>7</v>
      </c>
    </row>
    <row r="23" spans="1:6" ht="15" customHeight="1" x14ac:dyDescent="0.2">
      <c r="A23" s="375">
        <v>10024</v>
      </c>
      <c r="B23" s="376" t="s">
        <v>911</v>
      </c>
      <c r="C23" s="377"/>
      <c r="D23" s="378" t="s">
        <v>2860</v>
      </c>
      <c r="E23" s="379">
        <v>7</v>
      </c>
    </row>
    <row r="24" spans="1:6" ht="15" customHeight="1" x14ac:dyDescent="0.2">
      <c r="A24" s="375">
        <v>10111</v>
      </c>
      <c r="B24" s="376" t="s">
        <v>2109</v>
      </c>
      <c r="C24" s="377"/>
      <c r="D24" s="378" t="s">
        <v>2861</v>
      </c>
      <c r="E24" s="379">
        <v>10</v>
      </c>
    </row>
    <row r="25" spans="1:6" ht="15" customHeight="1" x14ac:dyDescent="0.2">
      <c r="A25" s="375">
        <v>10130</v>
      </c>
      <c r="B25" s="376" t="s">
        <v>1761</v>
      </c>
      <c r="C25" s="377"/>
      <c r="D25" s="378" t="s">
        <v>2862</v>
      </c>
      <c r="E25" s="379">
        <v>10</v>
      </c>
    </row>
    <row r="26" spans="1:6" ht="15" customHeight="1" x14ac:dyDescent="0.2">
      <c r="A26" s="375">
        <v>10103</v>
      </c>
      <c r="B26" s="376" t="s">
        <v>800</v>
      </c>
      <c r="C26" s="377"/>
      <c r="D26" s="378" t="s">
        <v>2863</v>
      </c>
      <c r="E26" s="379">
        <v>7</v>
      </c>
      <c r="F26" s="369"/>
    </row>
    <row r="27" spans="1:6" ht="15" customHeight="1" x14ac:dyDescent="0.2">
      <c r="A27" s="375">
        <v>10100</v>
      </c>
      <c r="B27" s="376" t="s">
        <v>1042</v>
      </c>
      <c r="C27" s="377"/>
      <c r="D27" s="378" t="s">
        <v>2864</v>
      </c>
      <c r="E27" s="379">
        <v>10</v>
      </c>
      <c r="F27" s="369"/>
    </row>
    <row r="28" spans="1:6" ht="15" customHeight="1" x14ac:dyDescent="0.2">
      <c r="A28" s="380">
        <v>10270</v>
      </c>
      <c r="B28" s="381" t="s">
        <v>2112</v>
      </c>
      <c r="C28" s="382" t="s">
        <v>1687</v>
      </c>
      <c r="D28" s="383" t="s">
        <v>2557</v>
      </c>
      <c r="E28" s="384">
        <v>4</v>
      </c>
    </row>
    <row r="29" spans="1:6" ht="15" customHeight="1" x14ac:dyDescent="0.2">
      <c r="A29" s="375"/>
      <c r="B29" s="376"/>
      <c r="C29" s="377"/>
      <c r="D29" s="378"/>
      <c r="E29" s="379"/>
    </row>
    <row r="30" spans="1:6" ht="15" customHeight="1" x14ac:dyDescent="0.2">
      <c r="A30" s="375"/>
      <c r="B30" s="376"/>
      <c r="C30" s="377"/>
      <c r="D30" s="373" t="s">
        <v>2865</v>
      </c>
      <c r="E30" s="379"/>
    </row>
    <row r="31" spans="1:6" ht="15" customHeight="1" x14ac:dyDescent="0.2">
      <c r="A31" s="375">
        <v>10090</v>
      </c>
      <c r="B31" s="376" t="s">
        <v>2113</v>
      </c>
      <c r="C31" s="377"/>
      <c r="D31" s="378" t="s">
        <v>2558</v>
      </c>
      <c r="E31" s="379">
        <v>40</v>
      </c>
    </row>
    <row r="32" spans="1:6" ht="15" customHeight="1" x14ac:dyDescent="0.2">
      <c r="A32" s="375">
        <v>10203</v>
      </c>
      <c r="B32" s="376" t="s">
        <v>524</v>
      </c>
      <c r="C32" s="377"/>
      <c r="D32" s="378" t="s">
        <v>2559</v>
      </c>
      <c r="E32" s="379">
        <v>40</v>
      </c>
    </row>
    <row r="33" spans="1:5" ht="15" customHeight="1" x14ac:dyDescent="0.2">
      <c r="A33" s="375"/>
      <c r="B33" s="376"/>
      <c r="C33" s="377"/>
      <c r="D33" s="378"/>
      <c r="E33" s="379"/>
    </row>
    <row r="34" spans="1:5" ht="15" customHeight="1" x14ac:dyDescent="0.2">
      <c r="A34" s="375"/>
      <c r="B34" s="376"/>
      <c r="C34" s="377"/>
      <c r="D34" s="373" t="s">
        <v>2866</v>
      </c>
      <c r="E34" s="379"/>
    </row>
    <row r="35" spans="1:5" ht="15" customHeight="1" x14ac:dyDescent="0.2">
      <c r="A35" s="375">
        <v>10520</v>
      </c>
      <c r="B35" s="376" t="s">
        <v>2118</v>
      </c>
      <c r="C35" s="377"/>
      <c r="D35" s="378" t="s">
        <v>2867</v>
      </c>
      <c r="E35" s="379">
        <v>10</v>
      </c>
    </row>
    <row r="36" spans="1:5" ht="15" customHeight="1" x14ac:dyDescent="0.2">
      <c r="A36" s="375">
        <v>10521</v>
      </c>
      <c r="B36" s="376" t="s">
        <v>2119</v>
      </c>
      <c r="C36" s="377"/>
      <c r="D36" s="378" t="s">
        <v>2868</v>
      </c>
      <c r="E36" s="379">
        <v>14</v>
      </c>
    </row>
    <row r="37" spans="1:5" ht="15" customHeight="1" x14ac:dyDescent="0.2">
      <c r="A37" s="375">
        <v>10535</v>
      </c>
      <c r="B37" s="376" t="s">
        <v>2026</v>
      </c>
      <c r="C37" s="377"/>
      <c r="D37" s="378" t="s">
        <v>2869</v>
      </c>
      <c r="E37" s="379">
        <v>10</v>
      </c>
    </row>
    <row r="38" spans="1:5" ht="15" customHeight="1" x14ac:dyDescent="0.2">
      <c r="A38" s="375">
        <v>10584</v>
      </c>
      <c r="B38" s="376" t="s">
        <v>2560</v>
      </c>
      <c r="C38" s="377"/>
      <c r="D38" s="378" t="s">
        <v>2870</v>
      </c>
      <c r="E38" s="379">
        <v>14</v>
      </c>
    </row>
    <row r="39" spans="1:5" ht="15" customHeight="1" x14ac:dyDescent="0.2">
      <c r="A39" s="375">
        <v>10585</v>
      </c>
      <c r="B39" s="376" t="s">
        <v>2561</v>
      </c>
      <c r="C39" s="377"/>
      <c r="D39" s="378" t="s">
        <v>2871</v>
      </c>
      <c r="E39" s="379">
        <v>20</v>
      </c>
    </row>
    <row r="40" spans="1:5" ht="15" customHeight="1" x14ac:dyDescent="0.2">
      <c r="A40" s="375">
        <v>10545</v>
      </c>
      <c r="B40" s="376" t="s">
        <v>2027</v>
      </c>
      <c r="C40" s="377"/>
      <c r="D40" s="378" t="s">
        <v>2872</v>
      </c>
      <c r="E40" s="379">
        <v>10</v>
      </c>
    </row>
    <row r="41" spans="1:5" ht="15" customHeight="1" x14ac:dyDescent="0.2">
      <c r="A41" s="375">
        <v>10546</v>
      </c>
      <c r="B41" s="376" t="s">
        <v>802</v>
      </c>
      <c r="C41" s="377"/>
      <c r="D41" s="378" t="s">
        <v>2873</v>
      </c>
      <c r="E41" s="379">
        <v>14</v>
      </c>
    </row>
    <row r="42" spans="1:5" ht="15" customHeight="1" x14ac:dyDescent="0.2">
      <c r="A42" s="375">
        <v>10555</v>
      </c>
      <c r="B42" s="376" t="s">
        <v>2122</v>
      </c>
      <c r="C42" s="377"/>
      <c r="D42" s="378" t="s">
        <v>2874</v>
      </c>
      <c r="E42" s="379">
        <v>10</v>
      </c>
    </row>
    <row r="43" spans="1:5" ht="15" customHeight="1" x14ac:dyDescent="0.2">
      <c r="A43" s="375">
        <v>10525</v>
      </c>
      <c r="B43" s="376" t="s">
        <v>1741</v>
      </c>
      <c r="C43" s="377"/>
      <c r="D43" s="378" t="s">
        <v>2875</v>
      </c>
      <c r="E43" s="379">
        <v>10</v>
      </c>
    </row>
    <row r="44" spans="1:5" ht="15" customHeight="1" x14ac:dyDescent="0.2">
      <c r="A44" s="375">
        <v>10505</v>
      </c>
      <c r="B44" s="376" t="s">
        <v>2116</v>
      </c>
      <c r="C44" s="377"/>
      <c r="D44" s="378" t="s">
        <v>2876</v>
      </c>
      <c r="E44" s="379">
        <v>10</v>
      </c>
    </row>
    <row r="45" spans="1:5" ht="15" customHeight="1" x14ac:dyDescent="0.2">
      <c r="A45" s="375">
        <v>10550</v>
      </c>
      <c r="B45" s="376" t="s">
        <v>1743</v>
      </c>
      <c r="C45" s="377"/>
      <c r="D45" s="378" t="s">
        <v>2877</v>
      </c>
      <c r="E45" s="379">
        <v>10</v>
      </c>
    </row>
    <row r="46" spans="1:5" ht="15" customHeight="1" x14ac:dyDescent="0.2">
      <c r="A46" s="375">
        <v>10523</v>
      </c>
      <c r="B46" s="376" t="s">
        <v>540</v>
      </c>
      <c r="C46" s="377"/>
      <c r="D46" s="378" t="s">
        <v>2878</v>
      </c>
      <c r="E46" s="379">
        <v>14</v>
      </c>
    </row>
    <row r="47" spans="1:5" ht="15" customHeight="1" x14ac:dyDescent="0.2">
      <c r="A47" s="375">
        <v>10524</v>
      </c>
      <c r="B47" s="376" t="s">
        <v>544</v>
      </c>
      <c r="C47" s="377"/>
      <c r="D47" s="378" t="s">
        <v>2879</v>
      </c>
      <c r="E47" s="379">
        <v>14</v>
      </c>
    </row>
    <row r="48" spans="1:5" ht="15" customHeight="1" x14ac:dyDescent="0.2">
      <c r="A48" s="375">
        <v>10552</v>
      </c>
      <c r="B48" s="376" t="s">
        <v>548</v>
      </c>
      <c r="C48" s="377"/>
      <c r="D48" s="378" t="s">
        <v>2880</v>
      </c>
      <c r="E48" s="379">
        <v>14</v>
      </c>
    </row>
    <row r="49" spans="1:6" ht="15" customHeight="1" x14ac:dyDescent="0.2">
      <c r="A49" s="375">
        <v>10553</v>
      </c>
      <c r="B49" s="376" t="s">
        <v>546</v>
      </c>
      <c r="C49" s="377"/>
      <c r="D49" s="378" t="s">
        <v>2881</v>
      </c>
      <c r="E49" s="379">
        <v>14</v>
      </c>
    </row>
    <row r="50" spans="1:6" ht="15" customHeight="1" x14ac:dyDescent="0.2">
      <c r="A50" s="375">
        <v>10570</v>
      </c>
      <c r="B50" s="376" t="s">
        <v>2025</v>
      </c>
      <c r="C50" s="377"/>
      <c r="D50" s="378" t="s">
        <v>2882</v>
      </c>
      <c r="E50" s="379">
        <v>10</v>
      </c>
    </row>
    <row r="51" spans="1:6" ht="15" customHeight="1" x14ac:dyDescent="0.2">
      <c r="A51" s="380">
        <v>10599</v>
      </c>
      <c r="B51" s="381" t="s">
        <v>2127</v>
      </c>
      <c r="C51" s="382" t="s">
        <v>1687</v>
      </c>
      <c r="D51" s="383" t="s">
        <v>2562</v>
      </c>
      <c r="E51" s="384">
        <v>4</v>
      </c>
    </row>
    <row r="52" spans="1:6" ht="15" customHeight="1" x14ac:dyDescent="0.2">
      <c r="A52" s="375"/>
      <c r="B52" s="376"/>
      <c r="C52" s="377"/>
      <c r="D52" s="378"/>
      <c r="E52" s="379"/>
    </row>
    <row r="53" spans="1:6" ht="15" customHeight="1" x14ac:dyDescent="0.2">
      <c r="A53" s="375"/>
      <c r="B53" s="376"/>
      <c r="C53" s="377"/>
      <c r="D53" s="385" t="s">
        <v>2883</v>
      </c>
      <c r="E53" s="379"/>
    </row>
    <row r="54" spans="1:6" ht="15" customHeight="1" x14ac:dyDescent="0.2">
      <c r="A54" s="375">
        <v>11200</v>
      </c>
      <c r="B54" s="376" t="s">
        <v>1582</v>
      </c>
      <c r="C54" s="377"/>
      <c r="D54" s="378" t="s">
        <v>2571</v>
      </c>
      <c r="E54" s="379">
        <v>40</v>
      </c>
    </row>
    <row r="55" spans="1:6" ht="15" customHeight="1" x14ac:dyDescent="0.2">
      <c r="A55" s="375">
        <v>11210</v>
      </c>
      <c r="B55" s="376" t="s">
        <v>1436</v>
      </c>
      <c r="C55" s="377"/>
      <c r="D55" s="378" t="s">
        <v>2572</v>
      </c>
      <c r="E55" s="379">
        <v>40</v>
      </c>
    </row>
    <row r="56" spans="1:6" ht="15" customHeight="1" x14ac:dyDescent="0.2">
      <c r="A56" s="375">
        <v>11213</v>
      </c>
      <c r="B56" s="376" t="s">
        <v>1454</v>
      </c>
      <c r="C56" s="377"/>
      <c r="D56" s="378" t="s">
        <v>2884</v>
      </c>
      <c r="E56" s="379" t="s">
        <v>1456</v>
      </c>
    </row>
    <row r="57" spans="1:6" ht="15" customHeight="1" x14ac:dyDescent="0.2">
      <c r="A57" s="375">
        <v>11130</v>
      </c>
      <c r="B57" s="376" t="s">
        <v>1568</v>
      </c>
      <c r="C57" s="377"/>
      <c r="D57" s="378" t="s">
        <v>2885</v>
      </c>
      <c r="E57" s="379">
        <v>40</v>
      </c>
    </row>
    <row r="58" spans="1:6" ht="15" customHeight="1" x14ac:dyDescent="0.2">
      <c r="A58" s="375">
        <v>11140</v>
      </c>
      <c r="B58" s="376" t="s">
        <v>1570</v>
      </c>
      <c r="C58" s="377"/>
      <c r="D58" s="378" t="s">
        <v>2886</v>
      </c>
      <c r="E58" s="379">
        <v>40</v>
      </c>
    </row>
    <row r="59" spans="1:6" ht="15" customHeight="1" x14ac:dyDescent="0.2">
      <c r="A59" s="375">
        <v>11170</v>
      </c>
      <c r="B59" s="376" t="s">
        <v>1580</v>
      </c>
      <c r="C59" s="377"/>
      <c r="D59" s="378" t="s">
        <v>2887</v>
      </c>
      <c r="E59" s="379">
        <v>40</v>
      </c>
    </row>
    <row r="60" spans="1:6" ht="15" customHeight="1" x14ac:dyDescent="0.2">
      <c r="A60" s="375">
        <v>11110</v>
      </c>
      <c r="B60" s="376" t="s">
        <v>1044</v>
      </c>
      <c r="C60" s="377"/>
      <c r="D60" s="378" t="s">
        <v>2570</v>
      </c>
      <c r="E60" s="379">
        <v>40</v>
      </c>
    </row>
    <row r="61" spans="1:6" ht="15" customHeight="1" x14ac:dyDescent="0.2">
      <c r="A61" s="375">
        <v>10592</v>
      </c>
      <c r="B61" s="376" t="s">
        <v>978</v>
      </c>
      <c r="C61" s="377"/>
      <c r="D61" s="378" t="s">
        <v>2888</v>
      </c>
      <c r="E61" s="379">
        <v>7</v>
      </c>
      <c r="F61" s="260" t="s">
        <v>86</v>
      </c>
    </row>
    <row r="62" spans="1:6" ht="15" customHeight="1" x14ac:dyDescent="0.2">
      <c r="A62" s="375">
        <v>10589</v>
      </c>
      <c r="B62" s="376" t="s">
        <v>729</v>
      </c>
      <c r="C62" s="377"/>
      <c r="D62" s="378" t="s">
        <v>2889</v>
      </c>
      <c r="E62" s="379">
        <v>7</v>
      </c>
    </row>
    <row r="63" spans="1:6" ht="15" customHeight="1" x14ac:dyDescent="0.2">
      <c r="A63" s="375">
        <v>10600</v>
      </c>
      <c r="B63" s="376" t="s">
        <v>2022</v>
      </c>
      <c r="C63" s="377"/>
      <c r="D63" s="378" t="s">
        <v>2890</v>
      </c>
      <c r="E63" s="379">
        <v>7</v>
      </c>
    </row>
    <row r="64" spans="1:6" ht="15" customHeight="1" x14ac:dyDescent="0.2">
      <c r="A64" s="375">
        <v>10602</v>
      </c>
      <c r="B64" s="376" t="s">
        <v>671</v>
      </c>
      <c r="C64" s="377"/>
      <c r="D64" s="378" t="s">
        <v>2891</v>
      </c>
      <c r="E64" s="379">
        <v>7</v>
      </c>
    </row>
    <row r="65" spans="1:181" ht="15" customHeight="1" x14ac:dyDescent="0.2">
      <c r="A65" s="375">
        <v>11010</v>
      </c>
      <c r="B65" s="376" t="s">
        <v>895</v>
      </c>
      <c r="C65" s="377"/>
      <c r="D65" s="378" t="s">
        <v>2892</v>
      </c>
      <c r="E65" s="379">
        <v>7</v>
      </c>
    </row>
    <row r="66" spans="1:181" ht="15" customHeight="1" x14ac:dyDescent="0.2">
      <c r="A66" s="380">
        <v>11015</v>
      </c>
      <c r="B66" s="381" t="s">
        <v>2137</v>
      </c>
      <c r="C66" s="382" t="s">
        <v>1687</v>
      </c>
      <c r="D66" s="383" t="s">
        <v>2569</v>
      </c>
      <c r="E66" s="384">
        <v>4</v>
      </c>
    </row>
    <row r="67" spans="1:181" ht="15" customHeight="1" x14ac:dyDescent="0.2">
      <c r="A67" s="375"/>
      <c r="B67" s="376"/>
      <c r="C67" s="377"/>
      <c r="D67" s="385"/>
      <c r="E67" s="379"/>
    </row>
    <row r="68" spans="1:181" ht="15" customHeight="1" x14ac:dyDescent="0.2">
      <c r="A68" s="375"/>
      <c r="B68" s="376"/>
      <c r="C68" s="377"/>
      <c r="D68" s="373" t="s">
        <v>2893</v>
      </c>
      <c r="E68" s="379"/>
    </row>
    <row r="69" spans="1:181" ht="15" customHeight="1" x14ac:dyDescent="0.2">
      <c r="A69" s="375">
        <v>10425</v>
      </c>
      <c r="B69" s="376" t="s">
        <v>798</v>
      </c>
      <c r="C69" s="377"/>
      <c r="D69" s="378" t="s">
        <v>2894</v>
      </c>
      <c r="E69" s="379">
        <v>7</v>
      </c>
    </row>
    <row r="70" spans="1:181" ht="15" customHeight="1" x14ac:dyDescent="0.2">
      <c r="A70" s="375">
        <v>10430</v>
      </c>
      <c r="B70" s="376" t="s">
        <v>1859</v>
      </c>
      <c r="C70" s="377"/>
      <c r="D70" s="378" t="s">
        <v>2895</v>
      </c>
      <c r="E70" s="379">
        <v>10</v>
      </c>
    </row>
    <row r="71" spans="1:181" ht="15" customHeight="1" x14ac:dyDescent="0.2">
      <c r="A71" s="375">
        <v>10450</v>
      </c>
      <c r="B71" s="376" t="s">
        <v>964</v>
      </c>
      <c r="C71" s="377"/>
      <c r="D71" s="378" t="s">
        <v>2896</v>
      </c>
      <c r="E71" s="379">
        <v>10</v>
      </c>
      <c r="F71" s="386"/>
    </row>
    <row r="72" spans="1:181" ht="15" customHeight="1" x14ac:dyDescent="0.2">
      <c r="A72" s="375">
        <v>10442</v>
      </c>
      <c r="B72" s="376" t="s">
        <v>1979</v>
      </c>
      <c r="C72" s="377"/>
      <c r="D72" s="378" t="s">
        <v>2897</v>
      </c>
      <c r="E72" s="379">
        <v>7</v>
      </c>
    </row>
    <row r="73" spans="1:181" ht="15" customHeight="1" x14ac:dyDescent="0.2">
      <c r="A73" s="375">
        <v>10440</v>
      </c>
      <c r="B73" s="376" t="s">
        <v>952</v>
      </c>
      <c r="C73" s="377"/>
      <c r="D73" s="378" t="s">
        <v>2898</v>
      </c>
      <c r="E73" s="379">
        <v>10</v>
      </c>
    </row>
    <row r="74" spans="1:181" ht="15" customHeight="1" x14ac:dyDescent="0.2">
      <c r="A74" s="375">
        <v>10405</v>
      </c>
      <c r="B74" s="376" t="s">
        <v>926</v>
      </c>
      <c r="C74" s="377"/>
      <c r="D74" s="378" t="s">
        <v>2899</v>
      </c>
      <c r="E74" s="379">
        <v>7</v>
      </c>
    </row>
    <row r="75" spans="1:181" ht="15" customHeight="1" x14ac:dyDescent="0.2">
      <c r="A75" s="375">
        <v>10406</v>
      </c>
      <c r="B75" s="376" t="s">
        <v>958</v>
      </c>
      <c r="C75" s="377"/>
      <c r="D75" s="378" t="s">
        <v>2900</v>
      </c>
      <c r="E75" s="379">
        <v>10</v>
      </c>
    </row>
    <row r="76" spans="1:181" ht="25.5" x14ac:dyDescent="0.2">
      <c r="A76" s="380">
        <v>10470</v>
      </c>
      <c r="B76" s="381" t="s">
        <v>570</v>
      </c>
      <c r="C76" s="382" t="s">
        <v>1687</v>
      </c>
      <c r="D76" s="383" t="s">
        <v>2563</v>
      </c>
      <c r="E76" s="384">
        <v>4</v>
      </c>
    </row>
    <row r="77" spans="1:181" ht="15" customHeight="1" x14ac:dyDescent="0.2">
      <c r="A77" s="375"/>
      <c r="B77" s="376"/>
      <c r="C77" s="377"/>
      <c r="D77" s="378"/>
      <c r="E77" s="379"/>
    </row>
    <row r="78" spans="1:181" ht="15" customHeight="1" x14ac:dyDescent="0.2">
      <c r="A78" s="375"/>
      <c r="B78" s="376"/>
      <c r="C78" s="377"/>
      <c r="D78" s="373" t="s">
        <v>2901</v>
      </c>
      <c r="E78" s="379"/>
    </row>
    <row r="79" spans="1:181" ht="15" customHeight="1" x14ac:dyDescent="0.2">
      <c r="A79" s="375">
        <v>13120</v>
      </c>
      <c r="B79" s="376" t="s">
        <v>1797</v>
      </c>
      <c r="C79" s="377"/>
      <c r="D79" s="378" t="s">
        <v>2568</v>
      </c>
      <c r="E79" s="379">
        <v>40</v>
      </c>
      <c r="F79" s="386"/>
      <c r="G79" s="386"/>
      <c r="H79" s="386"/>
      <c r="I79" s="386"/>
      <c r="J79" s="386"/>
      <c r="K79" s="386"/>
      <c r="L79" s="386"/>
      <c r="M79" s="386"/>
      <c r="N79" s="386"/>
      <c r="O79" s="386"/>
      <c r="P79" s="386"/>
      <c r="Q79" s="386"/>
      <c r="R79" s="386"/>
      <c r="S79" s="386"/>
      <c r="T79" s="386"/>
      <c r="U79" s="386"/>
      <c r="V79" s="386"/>
      <c r="W79" s="386"/>
      <c r="X79" s="386"/>
      <c r="Y79" s="386"/>
      <c r="Z79" s="386"/>
      <c r="AA79" s="386"/>
      <c r="AB79" s="386"/>
      <c r="AC79" s="386"/>
      <c r="AD79" s="386"/>
      <c r="AE79" s="386"/>
      <c r="AF79" s="386"/>
      <c r="AG79" s="386"/>
      <c r="AH79" s="386"/>
      <c r="AI79" s="386"/>
      <c r="AJ79" s="386"/>
      <c r="AK79" s="386"/>
      <c r="AL79" s="386"/>
      <c r="AM79" s="386"/>
      <c r="AN79" s="386"/>
      <c r="AO79" s="386"/>
      <c r="AP79" s="386"/>
      <c r="AQ79" s="386"/>
      <c r="AR79" s="386"/>
      <c r="AS79" s="386"/>
      <c r="AT79" s="386"/>
      <c r="AU79" s="386"/>
      <c r="AV79" s="386"/>
      <c r="AW79" s="386"/>
      <c r="AX79" s="386"/>
      <c r="AY79" s="386"/>
      <c r="AZ79" s="386"/>
      <c r="BA79" s="386"/>
      <c r="BB79" s="386"/>
      <c r="BC79" s="386"/>
      <c r="BD79" s="386"/>
      <c r="BE79" s="386"/>
      <c r="BF79" s="386"/>
      <c r="BG79" s="386"/>
      <c r="BH79" s="386"/>
      <c r="BI79" s="386"/>
      <c r="BJ79" s="386"/>
      <c r="BK79" s="386"/>
      <c r="BL79" s="386"/>
      <c r="BM79" s="386"/>
      <c r="BN79" s="386"/>
      <c r="BO79" s="386"/>
      <c r="BP79" s="386"/>
      <c r="BQ79" s="386"/>
      <c r="BR79" s="386"/>
      <c r="BS79" s="386"/>
      <c r="BT79" s="386"/>
      <c r="BU79" s="386"/>
      <c r="BV79" s="386"/>
      <c r="BW79" s="386"/>
      <c r="BX79" s="386"/>
      <c r="BY79" s="386"/>
      <c r="BZ79" s="386"/>
      <c r="CA79" s="386"/>
      <c r="CB79" s="386"/>
      <c r="CC79" s="386"/>
      <c r="CD79" s="386"/>
      <c r="CE79" s="386"/>
      <c r="CF79" s="386"/>
      <c r="CG79" s="386"/>
      <c r="CH79" s="386"/>
      <c r="CI79" s="386"/>
      <c r="CJ79" s="386"/>
      <c r="CK79" s="386"/>
      <c r="CL79" s="386"/>
      <c r="CM79" s="386"/>
      <c r="CN79" s="386"/>
      <c r="CO79" s="386"/>
      <c r="CP79" s="386"/>
      <c r="CQ79" s="386"/>
      <c r="CR79" s="386"/>
      <c r="CS79" s="386"/>
      <c r="CT79" s="386"/>
      <c r="CU79" s="386"/>
      <c r="CV79" s="386"/>
      <c r="CW79" s="386"/>
      <c r="CX79" s="386"/>
      <c r="CY79" s="386"/>
      <c r="CZ79" s="386"/>
      <c r="DA79" s="386"/>
      <c r="DB79" s="386"/>
      <c r="DC79" s="386"/>
      <c r="DD79" s="386"/>
      <c r="DE79" s="386"/>
      <c r="DF79" s="386"/>
      <c r="DG79" s="386"/>
      <c r="DH79" s="386"/>
      <c r="DI79" s="386"/>
      <c r="DJ79" s="386"/>
      <c r="DK79" s="386"/>
      <c r="DL79" s="386"/>
      <c r="DM79" s="386"/>
      <c r="DN79" s="386"/>
      <c r="DO79" s="386"/>
      <c r="DP79" s="386"/>
      <c r="DQ79" s="386"/>
      <c r="DR79" s="386"/>
      <c r="DS79" s="386"/>
      <c r="DT79" s="386"/>
      <c r="DU79" s="386"/>
      <c r="DV79" s="386"/>
      <c r="DW79" s="386"/>
      <c r="DX79" s="386"/>
      <c r="DY79" s="386"/>
      <c r="DZ79" s="386"/>
      <c r="EA79" s="386"/>
      <c r="EB79" s="386"/>
      <c r="EC79" s="386"/>
      <c r="ED79" s="386"/>
      <c r="EE79" s="386"/>
      <c r="EF79" s="386"/>
      <c r="EG79" s="386"/>
      <c r="EH79" s="386"/>
      <c r="EI79" s="386"/>
      <c r="EJ79" s="386"/>
      <c r="EK79" s="386"/>
      <c r="EL79" s="386"/>
      <c r="EM79" s="386"/>
      <c r="EN79" s="386"/>
      <c r="EO79" s="386"/>
      <c r="EP79" s="386"/>
      <c r="EQ79" s="386"/>
      <c r="ER79" s="386"/>
      <c r="ES79" s="386"/>
      <c r="ET79" s="386"/>
      <c r="EU79" s="386"/>
      <c r="EV79" s="386"/>
      <c r="EW79" s="386"/>
      <c r="EX79" s="386"/>
      <c r="EY79" s="386"/>
      <c r="EZ79" s="386"/>
      <c r="FA79" s="386"/>
      <c r="FB79" s="386"/>
      <c r="FC79" s="386"/>
      <c r="FD79" s="386"/>
      <c r="FE79" s="386"/>
      <c r="FF79" s="386"/>
      <c r="FG79" s="386"/>
      <c r="FH79" s="386"/>
      <c r="FI79" s="386"/>
      <c r="FJ79" s="386"/>
      <c r="FK79" s="386"/>
      <c r="FL79" s="386"/>
      <c r="FM79" s="386"/>
      <c r="FN79" s="386"/>
      <c r="FO79" s="386"/>
      <c r="FP79" s="386"/>
      <c r="FQ79" s="386"/>
      <c r="FR79" s="386"/>
      <c r="FS79" s="386"/>
      <c r="FT79" s="386"/>
      <c r="FU79" s="386"/>
      <c r="FV79" s="386"/>
      <c r="FW79" s="386"/>
      <c r="FX79" s="386"/>
      <c r="FY79" s="386"/>
    </row>
    <row r="80" spans="1:181" ht="15" customHeight="1" x14ac:dyDescent="0.2">
      <c r="A80" s="375">
        <v>13100</v>
      </c>
      <c r="B80" s="376" t="s">
        <v>615</v>
      </c>
      <c r="C80" s="377"/>
      <c r="D80" s="378" t="s">
        <v>2565</v>
      </c>
      <c r="E80" s="379">
        <v>45</v>
      </c>
      <c r="F80" s="369"/>
    </row>
    <row r="81" spans="1:6" ht="15" customHeight="1" x14ac:dyDescent="0.2">
      <c r="A81" s="375">
        <v>13105</v>
      </c>
      <c r="B81" s="376" t="s">
        <v>621</v>
      </c>
      <c r="C81" s="377"/>
      <c r="D81" s="378" t="s">
        <v>2566</v>
      </c>
      <c r="E81" s="379">
        <v>35</v>
      </c>
      <c r="F81" s="369"/>
    </row>
    <row r="82" spans="1:6" ht="15" customHeight="1" x14ac:dyDescent="0.2">
      <c r="A82" s="375">
        <v>13110</v>
      </c>
      <c r="B82" s="376" t="s">
        <v>1981</v>
      </c>
      <c r="C82" s="377"/>
      <c r="D82" s="378" t="s">
        <v>2567</v>
      </c>
      <c r="E82" s="379">
        <v>7</v>
      </c>
    </row>
    <row r="83" spans="1:6" ht="15" customHeight="1" x14ac:dyDescent="0.2">
      <c r="A83" s="375">
        <v>17309</v>
      </c>
      <c r="B83" s="376" t="s">
        <v>2902</v>
      </c>
      <c r="C83" s="377"/>
      <c r="D83" s="378" t="s">
        <v>2903</v>
      </c>
      <c r="E83" s="379">
        <v>60</v>
      </c>
    </row>
    <row r="84" spans="1:6" ht="15" customHeight="1" x14ac:dyDescent="0.2">
      <c r="A84" s="375"/>
      <c r="B84" s="376"/>
      <c r="C84" s="377"/>
      <c r="D84" s="387"/>
      <c r="E84" s="388"/>
    </row>
    <row r="85" spans="1:6" ht="15" customHeight="1" x14ac:dyDescent="0.2">
      <c r="A85" s="375"/>
      <c r="B85" s="376"/>
      <c r="C85" s="377"/>
      <c r="D85" s="373" t="s">
        <v>2904</v>
      </c>
      <c r="E85" s="379"/>
    </row>
    <row r="86" spans="1:6" ht="15" customHeight="1" x14ac:dyDescent="0.2">
      <c r="A86" s="375">
        <v>11415</v>
      </c>
      <c r="B86" s="376" t="s">
        <v>2905</v>
      </c>
      <c r="C86" s="377" t="s">
        <v>2843</v>
      </c>
      <c r="D86" s="378" t="s">
        <v>2906</v>
      </c>
      <c r="E86" s="379">
        <v>40</v>
      </c>
      <c r="F86" s="386"/>
    </row>
    <row r="87" spans="1:6" ht="15" customHeight="1" x14ac:dyDescent="0.2">
      <c r="A87" s="375">
        <v>11410</v>
      </c>
      <c r="B87" s="376" t="s">
        <v>1615</v>
      </c>
      <c r="C87" s="377"/>
      <c r="D87" s="378" t="s">
        <v>2907</v>
      </c>
      <c r="E87" s="379">
        <v>7</v>
      </c>
      <c r="F87" s="369"/>
    </row>
    <row r="88" spans="1:6" ht="15" customHeight="1" x14ac:dyDescent="0.2">
      <c r="A88" s="375">
        <v>11495</v>
      </c>
      <c r="B88" s="376" t="s">
        <v>1035</v>
      </c>
      <c r="C88" s="382" t="s">
        <v>1687</v>
      </c>
      <c r="D88" s="378" t="s">
        <v>2908</v>
      </c>
      <c r="E88" s="379">
        <v>40</v>
      </c>
      <c r="F88" s="386"/>
    </row>
    <row r="89" spans="1:6" ht="15" customHeight="1" x14ac:dyDescent="0.2">
      <c r="A89" s="375"/>
      <c r="B89" s="376"/>
      <c r="C89" s="377"/>
      <c r="D89" s="387"/>
      <c r="E89" s="379"/>
    </row>
    <row r="90" spans="1:6" ht="15" customHeight="1" x14ac:dyDescent="0.2">
      <c r="A90" s="389"/>
      <c r="B90" s="390"/>
      <c r="C90" s="377"/>
      <c r="D90" s="391" t="s">
        <v>2909</v>
      </c>
      <c r="E90" s="392"/>
    </row>
    <row r="91" spans="1:6" ht="15" customHeight="1" x14ac:dyDescent="0.2">
      <c r="A91" s="375">
        <v>10792</v>
      </c>
      <c r="B91" s="376" t="s">
        <v>2910</v>
      </c>
      <c r="C91" s="377" t="s">
        <v>2843</v>
      </c>
      <c r="D91" s="378" t="s">
        <v>2911</v>
      </c>
      <c r="E91" s="379">
        <v>10</v>
      </c>
    </row>
    <row r="92" spans="1:6" ht="15" customHeight="1" x14ac:dyDescent="0.2">
      <c r="A92" s="393">
        <v>10760</v>
      </c>
      <c r="B92" s="394" t="s">
        <v>1414</v>
      </c>
      <c r="C92" s="382" t="s">
        <v>1687</v>
      </c>
      <c r="D92" s="395" t="s">
        <v>2576</v>
      </c>
      <c r="E92" s="396">
        <v>10</v>
      </c>
    </row>
    <row r="93" spans="1:6" ht="15" customHeight="1" x14ac:dyDescent="0.2">
      <c r="A93" s="393">
        <v>10740</v>
      </c>
      <c r="B93" s="394" t="s">
        <v>2023</v>
      </c>
      <c r="C93" s="382" t="s">
        <v>1687</v>
      </c>
      <c r="D93" s="395" t="s">
        <v>2574</v>
      </c>
      <c r="E93" s="396">
        <v>10</v>
      </c>
    </row>
    <row r="94" spans="1:6" ht="15" customHeight="1" x14ac:dyDescent="0.2">
      <c r="A94" s="380">
        <v>10781</v>
      </c>
      <c r="B94" s="381" t="s">
        <v>969</v>
      </c>
      <c r="C94" s="382" t="s">
        <v>1687</v>
      </c>
      <c r="D94" s="383" t="s">
        <v>2578</v>
      </c>
      <c r="E94" s="397">
        <v>10</v>
      </c>
    </row>
    <row r="95" spans="1:6" ht="15" customHeight="1" x14ac:dyDescent="0.2">
      <c r="A95" s="393">
        <v>10793</v>
      </c>
      <c r="B95" s="394" t="s">
        <v>2912</v>
      </c>
      <c r="C95" s="382" t="s">
        <v>2843</v>
      </c>
      <c r="D95" s="395" t="s">
        <v>2913</v>
      </c>
      <c r="E95" s="397">
        <v>10</v>
      </c>
    </row>
    <row r="96" spans="1:6" ht="15" customHeight="1" x14ac:dyDescent="0.2">
      <c r="A96" s="398">
        <v>10745</v>
      </c>
      <c r="B96" s="399" t="s">
        <v>2029</v>
      </c>
      <c r="C96" s="382" t="s">
        <v>1687</v>
      </c>
      <c r="D96" s="400" t="s">
        <v>2575</v>
      </c>
      <c r="E96" s="401">
        <v>10</v>
      </c>
    </row>
    <row r="97" spans="1:7" ht="15" customHeight="1" x14ac:dyDescent="0.2">
      <c r="A97" s="393">
        <v>10721</v>
      </c>
      <c r="B97" s="394" t="s">
        <v>568</v>
      </c>
      <c r="C97" s="382" t="s">
        <v>1687</v>
      </c>
      <c r="D97" s="395" t="s">
        <v>2573</v>
      </c>
      <c r="E97" s="396">
        <v>10</v>
      </c>
    </row>
    <row r="98" spans="1:7" ht="15" customHeight="1" x14ac:dyDescent="0.2">
      <c r="A98" s="393">
        <v>10765</v>
      </c>
      <c r="B98" s="394" t="s">
        <v>1772</v>
      </c>
      <c r="C98" s="382" t="s">
        <v>1687</v>
      </c>
      <c r="D98" s="395" t="s">
        <v>2577</v>
      </c>
      <c r="E98" s="396">
        <v>10</v>
      </c>
    </row>
    <row r="99" spans="1:7" ht="15" customHeight="1" x14ac:dyDescent="0.2">
      <c r="A99" s="402">
        <v>10706</v>
      </c>
      <c r="B99" s="403" t="s">
        <v>625</v>
      </c>
      <c r="C99" s="377"/>
      <c r="D99" s="404" t="s">
        <v>2914</v>
      </c>
      <c r="E99" s="405">
        <v>10</v>
      </c>
    </row>
    <row r="100" spans="1:7" ht="15" customHeight="1" x14ac:dyDescent="0.2">
      <c r="A100" s="375">
        <v>10711</v>
      </c>
      <c r="B100" s="376" t="s">
        <v>2141</v>
      </c>
      <c r="C100" s="377"/>
      <c r="D100" s="378" t="s">
        <v>2915</v>
      </c>
      <c r="E100" s="379">
        <v>10</v>
      </c>
    </row>
    <row r="101" spans="1:7" ht="21.95" customHeight="1" x14ac:dyDescent="0.2">
      <c r="A101" s="375">
        <v>10790</v>
      </c>
      <c r="B101" s="376" t="s">
        <v>976</v>
      </c>
      <c r="C101" s="377"/>
      <c r="D101" s="378" t="s">
        <v>2916</v>
      </c>
      <c r="E101" s="379">
        <v>7</v>
      </c>
    </row>
    <row r="102" spans="1:7" ht="15" customHeight="1" x14ac:dyDescent="0.2">
      <c r="A102" s="375">
        <v>10731</v>
      </c>
      <c r="B102" s="376" t="s">
        <v>806</v>
      </c>
      <c r="C102" s="377"/>
      <c r="D102" s="378" t="s">
        <v>2917</v>
      </c>
      <c r="E102" s="379">
        <v>10</v>
      </c>
      <c r="F102" s="369"/>
    </row>
    <row r="103" spans="1:7" ht="15" customHeight="1" x14ac:dyDescent="0.2">
      <c r="A103" s="375">
        <v>10785</v>
      </c>
      <c r="B103" s="376" t="s">
        <v>2144</v>
      </c>
      <c r="C103" s="377"/>
      <c r="D103" s="378" t="s">
        <v>2918</v>
      </c>
      <c r="E103" s="379">
        <v>10</v>
      </c>
      <c r="F103"/>
    </row>
    <row r="104" spans="1:7" ht="15" customHeight="1" x14ac:dyDescent="0.2">
      <c r="A104" s="393">
        <v>10795</v>
      </c>
      <c r="B104" s="394" t="s">
        <v>886</v>
      </c>
      <c r="C104" s="382" t="s">
        <v>1687</v>
      </c>
      <c r="D104" s="395" t="s">
        <v>2579</v>
      </c>
      <c r="E104" s="396">
        <v>4</v>
      </c>
    </row>
    <row r="105" spans="1:7" ht="15" customHeight="1" x14ac:dyDescent="0.2">
      <c r="A105" s="375"/>
      <c r="B105" s="376"/>
      <c r="C105" s="377"/>
      <c r="D105" s="378"/>
      <c r="E105" s="379"/>
    </row>
    <row r="106" spans="1:7" ht="15" customHeight="1" x14ac:dyDescent="0.2">
      <c r="A106" s="375"/>
      <c r="B106" s="376"/>
      <c r="C106" s="377"/>
      <c r="D106" s="373" t="s">
        <v>2919</v>
      </c>
      <c r="E106" s="379"/>
    </row>
    <row r="107" spans="1:7" ht="15" customHeight="1" x14ac:dyDescent="0.2">
      <c r="A107" s="375">
        <v>10840</v>
      </c>
      <c r="B107" s="376" t="s">
        <v>774</v>
      </c>
      <c r="C107" s="377"/>
      <c r="D107" s="378" t="s">
        <v>2585</v>
      </c>
      <c r="E107" s="379">
        <v>7</v>
      </c>
      <c r="G107" s="386" t="s">
        <v>86</v>
      </c>
    </row>
    <row r="108" spans="1:7" ht="15" customHeight="1" x14ac:dyDescent="0.2">
      <c r="A108" s="375">
        <v>10841</v>
      </c>
      <c r="B108" s="376" t="s">
        <v>2150</v>
      </c>
      <c r="C108" s="377"/>
      <c r="D108" s="378" t="s">
        <v>2586</v>
      </c>
      <c r="E108" s="379">
        <v>10</v>
      </c>
    </row>
    <row r="109" spans="1:7" ht="15" customHeight="1" x14ac:dyDescent="0.2">
      <c r="A109" s="375">
        <v>10805</v>
      </c>
      <c r="B109" s="376" t="s">
        <v>2021</v>
      </c>
      <c r="C109" s="377"/>
      <c r="D109" s="378" t="s">
        <v>2920</v>
      </c>
      <c r="E109" s="379">
        <v>7</v>
      </c>
    </row>
    <row r="110" spans="1:7" ht="15" customHeight="1" x14ac:dyDescent="0.2">
      <c r="A110" s="375">
        <v>10806</v>
      </c>
      <c r="B110" s="376" t="s">
        <v>1737</v>
      </c>
      <c r="C110" s="377"/>
      <c r="D110" s="378" t="s">
        <v>2921</v>
      </c>
      <c r="E110" s="379">
        <v>10</v>
      </c>
      <c r="F110" s="386" t="s">
        <v>86</v>
      </c>
    </row>
    <row r="111" spans="1:7" ht="15" customHeight="1" x14ac:dyDescent="0.2">
      <c r="A111" s="375">
        <v>10810</v>
      </c>
      <c r="B111" s="376" t="s">
        <v>2408</v>
      </c>
      <c r="C111" s="377"/>
      <c r="D111" s="378" t="s">
        <v>2922</v>
      </c>
      <c r="E111" s="379">
        <v>7</v>
      </c>
      <c r="F111" s="386" t="s">
        <v>86</v>
      </c>
    </row>
    <row r="112" spans="1:7" ht="15" customHeight="1" x14ac:dyDescent="0.2">
      <c r="A112" s="375">
        <v>10811</v>
      </c>
      <c r="B112" s="376" t="s">
        <v>816</v>
      </c>
      <c r="C112" s="377"/>
      <c r="D112" s="378" t="s">
        <v>2923</v>
      </c>
      <c r="E112" s="379">
        <v>14</v>
      </c>
    </row>
    <row r="113" spans="1:5" ht="15" customHeight="1" x14ac:dyDescent="0.2">
      <c r="A113" s="375">
        <v>10813</v>
      </c>
      <c r="B113" s="376" t="s">
        <v>2580</v>
      </c>
      <c r="C113" s="377"/>
      <c r="D113" s="378" t="s">
        <v>2924</v>
      </c>
      <c r="E113" s="379">
        <v>7</v>
      </c>
    </row>
    <row r="114" spans="1:5" ht="15" customHeight="1" x14ac:dyDescent="0.2">
      <c r="A114" s="375">
        <v>10880</v>
      </c>
      <c r="B114" s="376" t="s">
        <v>2152</v>
      </c>
      <c r="C114" s="377"/>
      <c r="D114" s="378" t="s">
        <v>2925</v>
      </c>
      <c r="E114" s="379">
        <v>10</v>
      </c>
    </row>
    <row r="115" spans="1:5" ht="15" customHeight="1" x14ac:dyDescent="0.2">
      <c r="A115" s="375">
        <v>10890</v>
      </c>
      <c r="B115" s="376" t="s">
        <v>2595</v>
      </c>
      <c r="C115" s="377"/>
      <c r="D115" s="378" t="s">
        <v>2926</v>
      </c>
      <c r="E115" s="379">
        <v>14</v>
      </c>
    </row>
    <row r="116" spans="1:5" ht="15" customHeight="1" x14ac:dyDescent="0.2">
      <c r="A116" s="375">
        <v>10898</v>
      </c>
      <c r="B116" s="376" t="s">
        <v>2927</v>
      </c>
      <c r="C116" s="377" t="s">
        <v>2843</v>
      </c>
      <c r="D116" s="378" t="s">
        <v>2928</v>
      </c>
      <c r="E116" s="379">
        <v>10</v>
      </c>
    </row>
    <row r="117" spans="1:5" ht="15" customHeight="1" x14ac:dyDescent="0.2">
      <c r="A117" s="375">
        <v>10830</v>
      </c>
      <c r="B117" s="376" t="s">
        <v>2147</v>
      </c>
      <c r="C117" s="382" t="s">
        <v>1687</v>
      </c>
      <c r="D117" s="378" t="s">
        <v>2582</v>
      </c>
      <c r="E117" s="379">
        <v>10</v>
      </c>
    </row>
    <row r="118" spans="1:5" ht="15" customHeight="1" x14ac:dyDescent="0.2">
      <c r="A118" s="375">
        <v>10855</v>
      </c>
      <c r="B118" s="376" t="s">
        <v>1769</v>
      </c>
      <c r="C118" s="382" t="s">
        <v>1687</v>
      </c>
      <c r="D118" s="378" t="s">
        <v>2588</v>
      </c>
      <c r="E118" s="379">
        <v>10</v>
      </c>
    </row>
    <row r="119" spans="1:5" ht="15" customHeight="1" x14ac:dyDescent="0.2">
      <c r="A119" s="375">
        <v>10875</v>
      </c>
      <c r="B119" s="376" t="s">
        <v>917</v>
      </c>
      <c r="C119" s="382" t="s">
        <v>1687</v>
      </c>
      <c r="D119" s="378" t="s">
        <v>2594</v>
      </c>
      <c r="E119" s="379">
        <v>10</v>
      </c>
    </row>
    <row r="120" spans="1:5" ht="15" customHeight="1" x14ac:dyDescent="0.2">
      <c r="A120" s="375">
        <v>10899</v>
      </c>
      <c r="B120" s="376" t="s">
        <v>2929</v>
      </c>
      <c r="C120" s="377" t="s">
        <v>2843</v>
      </c>
      <c r="D120" s="378" t="s">
        <v>2930</v>
      </c>
      <c r="E120" s="379">
        <v>10</v>
      </c>
    </row>
    <row r="121" spans="1:5" ht="15" customHeight="1" x14ac:dyDescent="0.2">
      <c r="A121" s="375">
        <v>10838</v>
      </c>
      <c r="B121" s="376" t="s">
        <v>2583</v>
      </c>
      <c r="C121" s="382" t="s">
        <v>1687</v>
      </c>
      <c r="D121" s="378" t="s">
        <v>2584</v>
      </c>
      <c r="E121" s="379">
        <v>10</v>
      </c>
    </row>
    <row r="122" spans="1:5" ht="15" customHeight="1" x14ac:dyDescent="0.2">
      <c r="A122" s="375">
        <v>10857</v>
      </c>
      <c r="B122" s="376" t="s">
        <v>2589</v>
      </c>
      <c r="C122" s="382" t="s">
        <v>1687</v>
      </c>
      <c r="D122" s="378" t="s">
        <v>2590</v>
      </c>
      <c r="E122" s="379">
        <v>10</v>
      </c>
    </row>
    <row r="123" spans="1:5" ht="15" customHeight="1" x14ac:dyDescent="0.2">
      <c r="A123" s="375">
        <v>10894</v>
      </c>
      <c r="B123" s="376" t="s">
        <v>2931</v>
      </c>
      <c r="C123" s="377" t="s">
        <v>2843</v>
      </c>
      <c r="D123" s="378" t="s">
        <v>2932</v>
      </c>
      <c r="E123" s="379">
        <v>10</v>
      </c>
    </row>
    <row r="124" spans="1:5" ht="15" customHeight="1" x14ac:dyDescent="0.2">
      <c r="A124" s="375">
        <v>10825</v>
      </c>
      <c r="B124" s="376" t="s">
        <v>2030</v>
      </c>
      <c r="C124" s="382" t="s">
        <v>1687</v>
      </c>
      <c r="D124" s="378" t="s">
        <v>2581</v>
      </c>
      <c r="E124" s="379">
        <v>10</v>
      </c>
    </row>
    <row r="125" spans="1:5" ht="15" customHeight="1" x14ac:dyDescent="0.2">
      <c r="A125" s="375">
        <v>10850</v>
      </c>
      <c r="B125" s="376" t="s">
        <v>1672</v>
      </c>
      <c r="C125" s="382" t="s">
        <v>1687</v>
      </c>
      <c r="D125" s="378" t="s">
        <v>2587</v>
      </c>
      <c r="E125" s="379">
        <v>10</v>
      </c>
    </row>
    <row r="126" spans="1:5" ht="15" customHeight="1" x14ac:dyDescent="0.2">
      <c r="A126" s="375">
        <v>10865</v>
      </c>
      <c r="B126" s="376" t="s">
        <v>1668</v>
      </c>
      <c r="C126" s="382" t="s">
        <v>1687</v>
      </c>
      <c r="D126" s="378" t="s">
        <v>2591</v>
      </c>
      <c r="E126" s="379">
        <v>10</v>
      </c>
    </row>
    <row r="127" spans="1:5" ht="15" customHeight="1" x14ac:dyDescent="0.2">
      <c r="A127" s="375">
        <v>10896</v>
      </c>
      <c r="B127" s="376" t="s">
        <v>2933</v>
      </c>
      <c r="C127" s="377" t="s">
        <v>2843</v>
      </c>
      <c r="D127" s="378" t="s">
        <v>2934</v>
      </c>
      <c r="E127" s="379">
        <v>10</v>
      </c>
    </row>
    <row r="128" spans="1:5" ht="15" customHeight="1" x14ac:dyDescent="0.2">
      <c r="A128" s="375">
        <v>10870</v>
      </c>
      <c r="B128" s="376" t="s">
        <v>2592</v>
      </c>
      <c r="C128" s="382" t="s">
        <v>1687</v>
      </c>
      <c r="D128" s="378" t="s">
        <v>2593</v>
      </c>
      <c r="E128" s="379">
        <v>10</v>
      </c>
    </row>
    <row r="129" spans="1:5" ht="15" customHeight="1" x14ac:dyDescent="0.2">
      <c r="A129" s="380">
        <v>10900</v>
      </c>
      <c r="B129" s="381" t="s">
        <v>733</v>
      </c>
      <c r="C129" s="382" t="s">
        <v>1687</v>
      </c>
      <c r="D129" s="383" t="s">
        <v>2596</v>
      </c>
      <c r="E129" s="384">
        <v>4</v>
      </c>
    </row>
    <row r="130" spans="1:5" ht="15" customHeight="1" x14ac:dyDescent="0.2">
      <c r="A130" s="375"/>
      <c r="B130" s="376"/>
      <c r="C130" s="377"/>
      <c r="D130" s="378"/>
      <c r="E130" s="379"/>
    </row>
    <row r="131" spans="1:5" ht="15" customHeight="1" x14ac:dyDescent="0.2">
      <c r="A131" s="375"/>
      <c r="B131" s="376"/>
      <c r="C131" s="377"/>
      <c r="D131" s="373" t="s">
        <v>2935</v>
      </c>
      <c r="E131" s="379"/>
    </row>
    <row r="132" spans="1:5" ht="15" customHeight="1" x14ac:dyDescent="0.2">
      <c r="A132" s="375">
        <v>10905</v>
      </c>
      <c r="B132" s="376" t="s">
        <v>2936</v>
      </c>
      <c r="C132" s="377" t="s">
        <v>2843</v>
      </c>
      <c r="D132" s="378" t="s">
        <v>2937</v>
      </c>
      <c r="E132" s="379">
        <v>25</v>
      </c>
    </row>
    <row r="133" spans="1:5" ht="15" customHeight="1" x14ac:dyDescent="0.2">
      <c r="A133" s="375">
        <v>10909</v>
      </c>
      <c r="B133" s="376" t="s">
        <v>899</v>
      </c>
      <c r="C133" s="382" t="s">
        <v>1687</v>
      </c>
      <c r="D133" s="378" t="s">
        <v>2597</v>
      </c>
      <c r="E133" s="379">
        <v>25</v>
      </c>
    </row>
    <row r="134" spans="1:5" ht="38.25" x14ac:dyDescent="0.2">
      <c r="A134" s="375">
        <v>10913</v>
      </c>
      <c r="B134" s="376" t="s">
        <v>2032</v>
      </c>
      <c r="C134" s="382" t="s">
        <v>1687</v>
      </c>
      <c r="D134" s="378" t="s">
        <v>2598</v>
      </c>
      <c r="E134" s="379">
        <v>25</v>
      </c>
    </row>
    <row r="135" spans="1:5" ht="15" customHeight="1" x14ac:dyDescent="0.2">
      <c r="A135" s="375"/>
      <c r="B135" s="376"/>
      <c r="C135" s="377"/>
      <c r="D135" s="378"/>
      <c r="E135" s="379"/>
    </row>
    <row r="136" spans="1:5" ht="15" customHeight="1" x14ac:dyDescent="0.2">
      <c r="A136" s="375" t="s">
        <v>86</v>
      </c>
      <c r="B136" s="376"/>
      <c r="C136" s="377"/>
      <c r="D136" s="406" t="s">
        <v>2938</v>
      </c>
      <c r="E136" s="388"/>
    </row>
    <row r="137" spans="1:5" ht="15" customHeight="1" x14ac:dyDescent="0.2">
      <c r="A137" s="375">
        <v>10920</v>
      </c>
      <c r="B137" s="376" t="s">
        <v>2640</v>
      </c>
      <c r="C137" s="377"/>
      <c r="D137" s="378" t="s">
        <v>2641</v>
      </c>
      <c r="E137" s="379">
        <v>25</v>
      </c>
    </row>
    <row r="138" spans="1:5" ht="15" customHeight="1" x14ac:dyDescent="0.2">
      <c r="A138" s="375">
        <v>10955</v>
      </c>
      <c r="B138" s="376" t="s">
        <v>2646</v>
      </c>
      <c r="C138" s="377"/>
      <c r="D138" s="378" t="s">
        <v>2647</v>
      </c>
      <c r="E138" s="379">
        <v>35</v>
      </c>
    </row>
    <row r="139" spans="1:5" x14ac:dyDescent="0.2">
      <c r="A139" s="375">
        <v>10930</v>
      </c>
      <c r="B139" s="376" t="s">
        <v>2642</v>
      </c>
      <c r="C139" s="377"/>
      <c r="D139" s="378" t="s">
        <v>2643</v>
      </c>
      <c r="E139" s="379">
        <v>25</v>
      </c>
    </row>
    <row r="140" spans="1:5" ht="15" customHeight="1" x14ac:dyDescent="0.2">
      <c r="A140" s="375">
        <v>10935</v>
      </c>
      <c r="B140" s="376" t="s">
        <v>2644</v>
      </c>
      <c r="C140" s="377"/>
      <c r="D140" s="378" t="s">
        <v>2645</v>
      </c>
      <c r="E140" s="379">
        <v>25</v>
      </c>
    </row>
    <row r="141" spans="1:5" ht="15" customHeight="1" x14ac:dyDescent="0.2">
      <c r="A141" s="375"/>
      <c r="B141" s="376"/>
      <c r="C141" s="377"/>
      <c r="D141" s="387"/>
      <c r="E141" s="379"/>
    </row>
    <row r="142" spans="1:5" ht="15" customHeight="1" x14ac:dyDescent="0.2">
      <c r="A142" s="375"/>
      <c r="B142" s="376"/>
      <c r="C142" s="377"/>
      <c r="D142" s="406" t="s">
        <v>2939</v>
      </c>
      <c r="E142" s="388"/>
    </row>
    <row r="143" spans="1:5" ht="15" customHeight="1" x14ac:dyDescent="0.2">
      <c r="A143" s="375"/>
      <c r="B143" s="376"/>
      <c r="C143" s="377"/>
      <c r="D143" s="373" t="s">
        <v>2845</v>
      </c>
      <c r="E143" s="388"/>
    </row>
    <row r="144" spans="1:5" ht="15" customHeight="1" x14ac:dyDescent="0.2">
      <c r="A144" s="375">
        <v>17060</v>
      </c>
      <c r="B144" s="376" t="s">
        <v>2084</v>
      </c>
      <c r="C144" s="377" t="s">
        <v>1687</v>
      </c>
      <c r="D144" s="407" t="s">
        <v>2599</v>
      </c>
      <c r="E144" s="379">
        <v>20</v>
      </c>
    </row>
    <row r="145" spans="1:5" ht="15" customHeight="1" x14ac:dyDescent="0.2">
      <c r="A145" s="375">
        <v>17040</v>
      </c>
      <c r="B145" s="376" t="s">
        <v>1316</v>
      </c>
      <c r="C145" s="377"/>
      <c r="D145" s="378" t="s">
        <v>2940</v>
      </c>
      <c r="E145" s="379">
        <v>26</v>
      </c>
    </row>
    <row r="146" spans="1:5" ht="15" customHeight="1" x14ac:dyDescent="0.2">
      <c r="A146" s="375">
        <v>17050</v>
      </c>
      <c r="B146" s="376" t="s">
        <v>2094</v>
      </c>
      <c r="C146" s="377"/>
      <c r="D146" s="378" t="s">
        <v>2600</v>
      </c>
      <c r="E146" s="379">
        <v>26</v>
      </c>
    </row>
    <row r="147" spans="1:5" ht="15" customHeight="1" x14ac:dyDescent="0.2">
      <c r="A147" s="375"/>
      <c r="B147" s="376"/>
      <c r="C147" s="377"/>
      <c r="D147" s="373"/>
      <c r="E147" s="379"/>
    </row>
    <row r="148" spans="1:5" ht="15" customHeight="1" x14ac:dyDescent="0.2">
      <c r="A148" s="375"/>
      <c r="B148" s="376"/>
      <c r="C148" s="377"/>
      <c r="D148" s="385" t="s">
        <v>2883</v>
      </c>
      <c r="E148" s="379"/>
    </row>
    <row r="149" spans="1:5" ht="15" customHeight="1" x14ac:dyDescent="0.2">
      <c r="A149" s="375">
        <v>17130</v>
      </c>
      <c r="B149" s="376" t="s">
        <v>2081</v>
      </c>
      <c r="C149" s="377"/>
      <c r="D149" s="378" t="s">
        <v>2601</v>
      </c>
      <c r="E149" s="379">
        <v>26</v>
      </c>
    </row>
    <row r="150" spans="1:5" ht="22.5" customHeight="1" x14ac:dyDescent="0.2">
      <c r="A150" s="375">
        <v>17190</v>
      </c>
      <c r="B150" s="376" t="s">
        <v>2178</v>
      </c>
      <c r="C150" s="377"/>
      <c r="D150" s="378" t="s">
        <v>2941</v>
      </c>
      <c r="E150" s="379">
        <v>90</v>
      </c>
    </row>
    <row r="151" spans="1:5" ht="22.5" customHeight="1" x14ac:dyDescent="0.2">
      <c r="A151" s="375">
        <v>17195</v>
      </c>
      <c r="B151" s="376" t="s">
        <v>770</v>
      </c>
      <c r="C151" s="377"/>
      <c r="D151" s="378" t="s">
        <v>2942</v>
      </c>
      <c r="E151" s="379">
        <v>120</v>
      </c>
    </row>
    <row r="152" spans="1:5" ht="22.5" customHeight="1" x14ac:dyDescent="0.2">
      <c r="A152" s="375">
        <v>17197</v>
      </c>
      <c r="B152" s="376" t="s">
        <v>2180</v>
      </c>
      <c r="C152" s="377"/>
      <c r="D152" s="378" t="s">
        <v>2943</v>
      </c>
      <c r="E152" s="379">
        <v>70</v>
      </c>
    </row>
    <row r="153" spans="1:5" ht="22.5" customHeight="1" x14ac:dyDescent="0.2">
      <c r="A153" s="375"/>
      <c r="B153" s="376"/>
      <c r="C153" s="377"/>
      <c r="D153" s="378" t="s">
        <v>2944</v>
      </c>
      <c r="E153" s="379"/>
    </row>
    <row r="154" spans="1:5" ht="32.450000000000003" customHeight="1" x14ac:dyDescent="0.2">
      <c r="A154" s="375"/>
      <c r="B154" s="376"/>
      <c r="C154" s="377"/>
      <c r="D154" s="378" t="s">
        <v>2610</v>
      </c>
      <c r="E154" s="379"/>
    </row>
    <row r="155" spans="1:5" ht="15" customHeight="1" x14ac:dyDescent="0.2">
      <c r="A155" s="375">
        <v>17155</v>
      </c>
      <c r="B155" s="376" t="s">
        <v>2172</v>
      </c>
      <c r="C155" s="377"/>
      <c r="D155" s="378" t="s">
        <v>2945</v>
      </c>
      <c r="E155" s="379">
        <v>26</v>
      </c>
    </row>
    <row r="156" spans="1:5" x14ac:dyDescent="0.2">
      <c r="A156" s="375"/>
      <c r="B156" s="376"/>
      <c r="C156" s="377"/>
      <c r="D156" s="378"/>
      <c r="E156" s="379"/>
    </row>
    <row r="157" spans="1:5" ht="15" customHeight="1" x14ac:dyDescent="0.2">
      <c r="A157" s="375"/>
      <c r="B157" s="376"/>
      <c r="C157" s="377"/>
      <c r="D157" s="373" t="s">
        <v>2901</v>
      </c>
      <c r="E157" s="379"/>
    </row>
    <row r="158" spans="1:5" ht="15" customHeight="1" x14ac:dyDescent="0.2">
      <c r="A158" s="375">
        <v>17105</v>
      </c>
      <c r="B158" s="376" t="s">
        <v>2086</v>
      </c>
      <c r="C158" s="377"/>
      <c r="D158" s="378" t="s">
        <v>2946</v>
      </c>
      <c r="E158" s="379">
        <v>40</v>
      </c>
    </row>
    <row r="159" spans="1:5" x14ac:dyDescent="0.2">
      <c r="A159" s="375"/>
      <c r="B159" s="376"/>
      <c r="C159" s="377"/>
      <c r="D159" s="378"/>
      <c r="E159" s="379"/>
    </row>
    <row r="160" spans="1:5" ht="15" customHeight="1" x14ac:dyDescent="0.2">
      <c r="A160" s="375"/>
      <c r="B160" s="376"/>
      <c r="C160" s="377"/>
      <c r="D160" s="373" t="s">
        <v>2904</v>
      </c>
      <c r="E160" s="379"/>
    </row>
    <row r="161" spans="1:6" ht="15" customHeight="1" x14ac:dyDescent="0.2">
      <c r="A161" s="375">
        <v>17211</v>
      </c>
      <c r="B161" s="376" t="s">
        <v>2607</v>
      </c>
      <c r="C161" s="377"/>
      <c r="D161" s="378" t="s">
        <v>2608</v>
      </c>
      <c r="E161" s="379">
        <v>26</v>
      </c>
    </row>
    <row r="162" spans="1:6" ht="15" customHeight="1" x14ac:dyDescent="0.2">
      <c r="A162" s="375">
        <v>17271</v>
      </c>
      <c r="B162" s="376" t="s">
        <v>2947</v>
      </c>
      <c r="C162" s="377" t="s">
        <v>2843</v>
      </c>
      <c r="D162" s="378" t="s">
        <v>2948</v>
      </c>
      <c r="E162" s="379">
        <v>26</v>
      </c>
    </row>
    <row r="163" spans="1:6" ht="15" customHeight="1" x14ac:dyDescent="0.2">
      <c r="A163" s="375">
        <v>17281</v>
      </c>
      <c r="B163" s="376" t="s">
        <v>1374</v>
      </c>
      <c r="C163" s="377"/>
      <c r="D163" s="378" t="s">
        <v>2949</v>
      </c>
      <c r="E163" s="379">
        <v>40</v>
      </c>
    </row>
    <row r="164" spans="1:6" ht="15" customHeight="1" x14ac:dyDescent="0.2">
      <c r="A164" s="375">
        <v>17143</v>
      </c>
      <c r="B164" s="376" t="s">
        <v>1454</v>
      </c>
      <c r="C164" s="377"/>
      <c r="D164" s="378" t="s">
        <v>2609</v>
      </c>
      <c r="E164" s="388" t="s">
        <v>1456</v>
      </c>
    </row>
    <row r="165" spans="1:6" ht="15" customHeight="1" x14ac:dyDescent="0.2">
      <c r="A165" s="375">
        <v>17165</v>
      </c>
      <c r="B165" s="376" t="s">
        <v>1454</v>
      </c>
      <c r="C165" s="377"/>
      <c r="D165" s="378" t="s">
        <v>2606</v>
      </c>
      <c r="E165" s="388" t="s">
        <v>1456</v>
      </c>
      <c r="F165" s="408"/>
    </row>
    <row r="166" spans="1:6" ht="15" customHeight="1" x14ac:dyDescent="0.2">
      <c r="A166" s="375">
        <v>17150</v>
      </c>
      <c r="B166" s="376" t="s">
        <v>2604</v>
      </c>
      <c r="C166" s="377"/>
      <c r="D166" s="378" t="s">
        <v>2605</v>
      </c>
      <c r="E166" s="379">
        <v>26</v>
      </c>
    </row>
    <row r="167" spans="1:6" ht="15" customHeight="1" x14ac:dyDescent="0.2">
      <c r="A167" s="375">
        <v>17135</v>
      </c>
      <c r="B167" s="376" t="s">
        <v>2602</v>
      </c>
      <c r="C167" s="377"/>
      <c r="D167" s="378" t="s">
        <v>2603</v>
      </c>
      <c r="E167" s="379">
        <v>26</v>
      </c>
    </row>
    <row r="168" spans="1:6" ht="15" customHeight="1" x14ac:dyDescent="0.2">
      <c r="A168" s="375">
        <v>17170</v>
      </c>
      <c r="B168" s="376" t="s">
        <v>2090</v>
      </c>
      <c r="C168" s="377"/>
      <c r="D168" s="378" t="s">
        <v>2950</v>
      </c>
      <c r="E168" s="379">
        <v>26</v>
      </c>
    </row>
    <row r="169" spans="1:6" ht="15" customHeight="1" x14ac:dyDescent="0.2">
      <c r="A169" s="375"/>
      <c r="B169" s="376"/>
      <c r="C169" s="377"/>
      <c r="D169" s="378"/>
      <c r="E169" s="379"/>
    </row>
    <row r="170" spans="1:6" ht="15" customHeight="1" x14ac:dyDescent="0.2">
      <c r="A170" s="375"/>
      <c r="B170" s="376"/>
      <c r="C170" s="377"/>
      <c r="D170" s="373" t="s">
        <v>2935</v>
      </c>
      <c r="E170" s="379"/>
    </row>
    <row r="171" spans="1:6" ht="15" customHeight="1" x14ac:dyDescent="0.2">
      <c r="A171" s="375">
        <v>17230</v>
      </c>
      <c r="B171" s="376" t="s">
        <v>2611</v>
      </c>
      <c r="C171" s="377"/>
      <c r="D171" s="378" t="s">
        <v>2612</v>
      </c>
      <c r="E171" s="379">
        <v>26</v>
      </c>
    </row>
    <row r="172" spans="1:6" ht="15" customHeight="1" x14ac:dyDescent="0.2">
      <c r="A172" s="375">
        <v>17185</v>
      </c>
      <c r="B172" s="376" t="s">
        <v>1444</v>
      </c>
      <c r="C172" s="377"/>
      <c r="D172" s="378" t="s">
        <v>2951</v>
      </c>
      <c r="E172" s="379">
        <v>20</v>
      </c>
    </row>
    <row r="173" spans="1:6" ht="15" customHeight="1" x14ac:dyDescent="0.2">
      <c r="A173" s="375"/>
      <c r="B173" s="376"/>
      <c r="C173" s="377"/>
      <c r="D173" s="378"/>
      <c r="E173" s="379"/>
    </row>
    <row r="174" spans="1:6" ht="15" customHeight="1" x14ac:dyDescent="0.2">
      <c r="A174" s="375"/>
      <c r="B174" s="376"/>
      <c r="C174" s="377"/>
      <c r="D174" s="406" t="s">
        <v>2952</v>
      </c>
      <c r="E174" s="379"/>
      <c r="F174" s="409"/>
    </row>
    <row r="175" spans="1:6" ht="25.5" x14ac:dyDescent="0.2">
      <c r="A175" s="410">
        <v>17299</v>
      </c>
      <c r="B175" s="411" t="s">
        <v>2409</v>
      </c>
      <c r="C175" s="382" t="s">
        <v>1687</v>
      </c>
      <c r="D175" s="412" t="s">
        <v>2953</v>
      </c>
      <c r="E175" s="413">
        <v>9</v>
      </c>
      <c r="F175" s="414"/>
    </row>
    <row r="176" spans="1:6" ht="23.1" customHeight="1" x14ac:dyDescent="0.25">
      <c r="A176" s="375"/>
      <c r="B176" s="376"/>
      <c r="C176" s="415"/>
      <c r="D176" s="416" t="s">
        <v>2954</v>
      </c>
      <c r="E176" s="379"/>
    </row>
    <row r="177" spans="1:6" ht="22.5" customHeight="1" x14ac:dyDescent="0.25">
      <c r="A177" s="375"/>
      <c r="B177" s="376"/>
      <c r="C177" s="377"/>
      <c r="D177" s="416" t="s">
        <v>2615</v>
      </c>
      <c r="E177" s="379"/>
    </row>
    <row r="178" spans="1:6" ht="25.5" x14ac:dyDescent="0.2">
      <c r="A178" s="375"/>
      <c r="B178" s="376"/>
      <c r="C178" s="377"/>
      <c r="D178" s="417" t="s">
        <v>2614</v>
      </c>
      <c r="E178" s="379"/>
      <c r="F178" s="369"/>
    </row>
    <row r="179" spans="1:6" ht="25.5" x14ac:dyDescent="0.2">
      <c r="A179" s="375"/>
      <c r="B179" s="376"/>
      <c r="C179" s="377"/>
      <c r="D179" s="417" t="s">
        <v>2613</v>
      </c>
      <c r="E179" s="379"/>
      <c r="F179" s="369"/>
    </row>
    <row r="180" spans="1:6" ht="25.5" x14ac:dyDescent="0.2">
      <c r="A180" s="418">
        <v>17290</v>
      </c>
      <c r="B180" s="419" t="s">
        <v>416</v>
      </c>
      <c r="C180" s="377"/>
      <c r="D180" s="420" t="s">
        <v>2955</v>
      </c>
      <c r="E180" s="421">
        <v>35</v>
      </c>
      <c r="F180" s="369"/>
    </row>
    <row r="181" spans="1:6" x14ac:dyDescent="0.2">
      <c r="A181" s="418">
        <v>17270</v>
      </c>
      <c r="B181" s="419" t="s">
        <v>2956</v>
      </c>
      <c r="C181" s="377" t="s">
        <v>2843</v>
      </c>
      <c r="D181" s="422" t="s">
        <v>2957</v>
      </c>
      <c r="E181" s="379">
        <v>35</v>
      </c>
      <c r="F181" s="409"/>
    </row>
    <row r="182" spans="1:6" x14ac:dyDescent="0.2">
      <c r="A182" s="418">
        <v>17275</v>
      </c>
      <c r="B182" s="419" t="s">
        <v>2958</v>
      </c>
      <c r="C182" s="377" t="s">
        <v>2843</v>
      </c>
      <c r="D182" s="422" t="s">
        <v>2959</v>
      </c>
      <c r="E182" s="379">
        <v>35</v>
      </c>
      <c r="F182" s="409"/>
    </row>
    <row r="183" spans="1:6" x14ac:dyDescent="0.2">
      <c r="A183" s="418">
        <v>17294</v>
      </c>
      <c r="B183" s="419" t="s">
        <v>851</v>
      </c>
      <c r="C183" s="377"/>
      <c r="D183" s="420" t="s">
        <v>2960</v>
      </c>
      <c r="E183" s="421">
        <v>35</v>
      </c>
      <c r="F183" s="369"/>
    </row>
    <row r="184" spans="1:6" x14ac:dyDescent="0.2">
      <c r="A184" s="418">
        <v>17298</v>
      </c>
      <c r="B184" s="419" t="s">
        <v>849</v>
      </c>
      <c r="C184" s="377"/>
      <c r="D184" s="420" t="s">
        <v>2961</v>
      </c>
      <c r="E184" s="421">
        <v>35</v>
      </c>
      <c r="F184" s="369"/>
    </row>
    <row r="185" spans="1:6" ht="25.5" x14ac:dyDescent="0.2">
      <c r="A185" s="418">
        <v>17200</v>
      </c>
      <c r="B185" s="419" t="s">
        <v>1127</v>
      </c>
      <c r="C185" s="377"/>
      <c r="D185" s="420" t="s">
        <v>2962</v>
      </c>
      <c r="E185" s="421">
        <v>35</v>
      </c>
      <c r="F185" s="369"/>
    </row>
    <row r="186" spans="1:6" x14ac:dyDescent="0.2">
      <c r="A186" s="423">
        <v>17205</v>
      </c>
      <c r="B186" s="424" t="s">
        <v>673</v>
      </c>
      <c r="C186" s="382" t="s">
        <v>1687</v>
      </c>
      <c r="D186" s="425" t="s">
        <v>2963</v>
      </c>
      <c r="E186" s="397">
        <v>35</v>
      </c>
      <c r="F186" s="369"/>
    </row>
    <row r="187" spans="1:6" ht="15" customHeight="1" x14ac:dyDescent="0.2">
      <c r="A187" s="375"/>
      <c r="B187" s="376"/>
      <c r="C187" s="377"/>
      <c r="D187" s="387"/>
      <c r="E187" s="388"/>
    </row>
    <row r="188" spans="1:6" ht="15" customHeight="1" x14ac:dyDescent="0.2">
      <c r="A188" s="426"/>
      <c r="B188" s="427"/>
      <c r="C188" s="428"/>
      <c r="D188" s="429" t="s">
        <v>2964</v>
      </c>
      <c r="E188" s="388"/>
    </row>
    <row r="189" spans="1:6" ht="65.45" customHeight="1" x14ac:dyDescent="0.2">
      <c r="A189" s="430"/>
      <c r="B189" s="431"/>
      <c r="C189" s="432"/>
      <c r="D189" s="433" t="s">
        <v>2965</v>
      </c>
      <c r="E189" s="388"/>
    </row>
    <row r="190" spans="1:6" x14ac:dyDescent="0.2">
      <c r="A190" s="430"/>
      <c r="B190" s="431"/>
      <c r="C190" s="432"/>
      <c r="D190" s="434"/>
      <c r="E190" s="388"/>
    </row>
    <row r="191" spans="1:6" ht="15" customHeight="1" x14ac:dyDescent="0.2">
      <c r="A191" s="430"/>
      <c r="B191" s="431"/>
      <c r="C191" s="432"/>
      <c r="D191" s="373" t="s">
        <v>2845</v>
      </c>
      <c r="E191" s="388"/>
    </row>
    <row r="192" spans="1:6" ht="15" customHeight="1" x14ac:dyDescent="0.2">
      <c r="A192" s="426">
        <v>16010</v>
      </c>
      <c r="B192" s="427" t="s">
        <v>1123</v>
      </c>
      <c r="C192" s="428"/>
      <c r="D192" s="378" t="s">
        <v>2966</v>
      </c>
      <c r="E192" s="379">
        <v>80</v>
      </c>
    </row>
    <row r="193" spans="1:5" ht="15" customHeight="1" x14ac:dyDescent="0.2">
      <c r="A193" s="426">
        <v>16210</v>
      </c>
      <c r="B193" s="376" t="s">
        <v>891</v>
      </c>
      <c r="C193" s="377"/>
      <c r="D193" s="378" t="s">
        <v>2617</v>
      </c>
      <c r="E193" s="379">
        <v>80</v>
      </c>
    </row>
    <row r="194" spans="1:5" ht="15" customHeight="1" x14ac:dyDescent="0.2">
      <c r="A194" s="426">
        <v>16220</v>
      </c>
      <c r="B194" s="427" t="s">
        <v>1508</v>
      </c>
      <c r="C194" s="428"/>
      <c r="D194" s="378" t="s">
        <v>2618</v>
      </c>
      <c r="E194" s="379">
        <v>80</v>
      </c>
    </row>
    <row r="195" spans="1:5" ht="15" customHeight="1" x14ac:dyDescent="0.2">
      <c r="A195" s="426">
        <v>16030</v>
      </c>
      <c r="B195" s="376" t="s">
        <v>841</v>
      </c>
      <c r="C195" s="377"/>
      <c r="D195" s="378" t="s">
        <v>2967</v>
      </c>
      <c r="E195" s="379">
        <v>80</v>
      </c>
    </row>
    <row r="196" spans="1:5" ht="15" customHeight="1" x14ac:dyDescent="0.2">
      <c r="A196" s="426">
        <v>16230</v>
      </c>
      <c r="B196" s="376" t="s">
        <v>636</v>
      </c>
      <c r="C196" s="377"/>
      <c r="D196" s="378" t="s">
        <v>2619</v>
      </c>
      <c r="E196" s="379">
        <v>80</v>
      </c>
    </row>
    <row r="197" spans="1:5" ht="15" customHeight="1" x14ac:dyDescent="0.2">
      <c r="A197" s="426">
        <v>16240</v>
      </c>
      <c r="B197" s="376" t="s">
        <v>834</v>
      </c>
      <c r="C197" s="377"/>
      <c r="D197" s="378" t="s">
        <v>2620</v>
      </c>
      <c r="E197" s="379">
        <v>80</v>
      </c>
    </row>
    <row r="198" spans="1:5" ht="15" customHeight="1" x14ac:dyDescent="0.2">
      <c r="A198" s="426">
        <v>16020</v>
      </c>
      <c r="B198" s="376" t="s">
        <v>843</v>
      </c>
      <c r="C198" s="377"/>
      <c r="D198" s="378" t="s">
        <v>2616</v>
      </c>
      <c r="E198" s="379">
        <v>80</v>
      </c>
    </row>
    <row r="199" spans="1:5" ht="15" customHeight="1" x14ac:dyDescent="0.2">
      <c r="A199" s="426"/>
      <c r="B199" s="376"/>
      <c r="C199" s="377"/>
      <c r="D199" s="378"/>
      <c r="E199" s="379"/>
    </row>
    <row r="200" spans="1:5" ht="15" customHeight="1" x14ac:dyDescent="0.2">
      <c r="A200" s="426"/>
      <c r="B200" s="427"/>
      <c r="C200" s="428"/>
      <c r="D200" s="373" t="s">
        <v>2866</v>
      </c>
      <c r="E200" s="379"/>
    </row>
    <row r="201" spans="1:5" ht="15" customHeight="1" x14ac:dyDescent="0.2">
      <c r="A201" s="426">
        <v>16041</v>
      </c>
      <c r="B201" s="427" t="s">
        <v>1364</v>
      </c>
      <c r="C201" s="428"/>
      <c r="D201" s="378" t="s">
        <v>2621</v>
      </c>
      <c r="E201" s="379">
        <v>80</v>
      </c>
    </row>
    <row r="202" spans="1:5" ht="15" customHeight="1" x14ac:dyDescent="0.2">
      <c r="A202" s="426">
        <v>16042</v>
      </c>
      <c r="B202" s="427" t="s">
        <v>2411</v>
      </c>
      <c r="C202" s="428"/>
      <c r="D202" s="378" t="s">
        <v>2622</v>
      </c>
      <c r="E202" s="379">
        <v>80</v>
      </c>
    </row>
    <row r="203" spans="1:5" ht="15" customHeight="1" x14ac:dyDescent="0.2">
      <c r="A203" s="426">
        <v>16043</v>
      </c>
      <c r="B203" s="427" t="s">
        <v>2412</v>
      </c>
      <c r="C203" s="428"/>
      <c r="D203" s="378" t="s">
        <v>2623</v>
      </c>
      <c r="E203" s="379">
        <v>80</v>
      </c>
    </row>
    <row r="204" spans="1:5" ht="15" customHeight="1" x14ac:dyDescent="0.2">
      <c r="A204" s="426">
        <v>16044</v>
      </c>
      <c r="B204" s="427" t="s">
        <v>2413</v>
      </c>
      <c r="C204" s="428"/>
      <c r="D204" s="378" t="s">
        <v>2968</v>
      </c>
      <c r="E204" s="379">
        <v>80</v>
      </c>
    </row>
    <row r="205" spans="1:5" ht="15" customHeight="1" x14ac:dyDescent="0.2">
      <c r="A205" s="426"/>
      <c r="B205" s="427"/>
      <c r="C205" s="428"/>
      <c r="D205" s="378"/>
      <c r="E205" s="379"/>
    </row>
    <row r="206" spans="1:5" ht="15" customHeight="1" x14ac:dyDescent="0.2">
      <c r="A206" s="426"/>
      <c r="B206" s="427"/>
      <c r="C206" s="428"/>
      <c r="D206" s="385" t="s">
        <v>2883</v>
      </c>
      <c r="E206" s="379"/>
    </row>
    <row r="207" spans="1:5" ht="15" customHeight="1" x14ac:dyDescent="0.2">
      <c r="A207" s="426">
        <v>16085</v>
      </c>
      <c r="B207" s="376" t="s">
        <v>1454</v>
      </c>
      <c r="C207" s="377"/>
      <c r="D207" s="378" t="s">
        <v>2969</v>
      </c>
      <c r="E207" s="388" t="s">
        <v>1456</v>
      </c>
    </row>
    <row r="208" spans="1:5" ht="15" customHeight="1" x14ac:dyDescent="0.2">
      <c r="A208" s="426">
        <v>16070</v>
      </c>
      <c r="B208" s="427" t="s">
        <v>780</v>
      </c>
      <c r="C208" s="428"/>
      <c r="D208" s="378" t="s">
        <v>2629</v>
      </c>
      <c r="E208" s="379">
        <v>80</v>
      </c>
    </row>
    <row r="209" spans="1:6" ht="15" customHeight="1" x14ac:dyDescent="0.2">
      <c r="A209" s="426">
        <v>16045</v>
      </c>
      <c r="B209" s="427" t="s">
        <v>2414</v>
      </c>
      <c r="C209" s="428"/>
      <c r="D209" s="378" t="s">
        <v>2624</v>
      </c>
      <c r="E209" s="379">
        <v>80</v>
      </c>
    </row>
    <row r="210" spans="1:6" ht="15" customHeight="1" x14ac:dyDescent="0.2">
      <c r="A210" s="426">
        <v>16080</v>
      </c>
      <c r="B210" s="427" t="s">
        <v>2357</v>
      </c>
      <c r="C210" s="428"/>
      <c r="D210" s="378" t="s">
        <v>2970</v>
      </c>
      <c r="E210" s="379">
        <v>80</v>
      </c>
    </row>
    <row r="211" spans="1:6" ht="15" customHeight="1" x14ac:dyDescent="0.2">
      <c r="A211" s="426"/>
      <c r="B211" s="427"/>
      <c r="C211" s="428"/>
      <c r="D211" s="378"/>
      <c r="E211" s="379"/>
    </row>
    <row r="212" spans="1:6" ht="15" customHeight="1" x14ac:dyDescent="0.2">
      <c r="A212" s="426"/>
      <c r="B212" s="427"/>
      <c r="C212" s="428"/>
      <c r="D212" s="385" t="s">
        <v>2893</v>
      </c>
      <c r="E212" s="379"/>
    </row>
    <row r="213" spans="1:6" ht="18" customHeight="1" x14ac:dyDescent="0.2">
      <c r="A213" s="426">
        <v>16064</v>
      </c>
      <c r="B213" s="427" t="s">
        <v>2625</v>
      </c>
      <c r="C213" s="428"/>
      <c r="D213" s="378" t="s">
        <v>2626</v>
      </c>
      <c r="E213" s="379">
        <v>175</v>
      </c>
      <c r="F213" s="369"/>
    </row>
    <row r="214" spans="1:6" ht="15" customHeight="1" x14ac:dyDescent="0.2">
      <c r="A214" s="426">
        <v>16062</v>
      </c>
      <c r="B214" s="427" t="s">
        <v>2627</v>
      </c>
      <c r="C214" s="428"/>
      <c r="D214" s="378" t="s">
        <v>2628</v>
      </c>
      <c r="E214" s="379">
        <v>80</v>
      </c>
    </row>
    <row r="215" spans="1:6" ht="15" customHeight="1" x14ac:dyDescent="0.2">
      <c r="A215" s="426">
        <v>16060</v>
      </c>
      <c r="B215" s="427" t="s">
        <v>2100</v>
      </c>
      <c r="C215" s="428"/>
      <c r="D215" s="378" t="s">
        <v>2971</v>
      </c>
      <c r="E215" s="379">
        <v>80</v>
      </c>
    </row>
    <row r="216" spans="1:6" ht="15" customHeight="1" x14ac:dyDescent="0.2">
      <c r="A216" s="426"/>
      <c r="B216" s="427"/>
      <c r="C216" s="428"/>
      <c r="D216" s="378"/>
      <c r="E216" s="379"/>
    </row>
    <row r="217" spans="1:6" ht="15" customHeight="1" x14ac:dyDescent="0.2">
      <c r="A217" s="426"/>
      <c r="B217" s="427"/>
      <c r="C217" s="428"/>
      <c r="D217" s="373" t="s">
        <v>2972</v>
      </c>
      <c r="E217" s="379"/>
    </row>
    <row r="218" spans="1:6" ht="15" customHeight="1" x14ac:dyDescent="0.2">
      <c r="A218" s="426">
        <v>16110</v>
      </c>
      <c r="B218" s="376" t="s">
        <v>1454</v>
      </c>
      <c r="C218" s="377"/>
      <c r="D218" s="378" t="s">
        <v>2630</v>
      </c>
      <c r="E218" s="388" t="s">
        <v>1456</v>
      </c>
    </row>
    <row r="219" spans="1:6" ht="15" customHeight="1" x14ac:dyDescent="0.2">
      <c r="A219" s="426">
        <v>16101</v>
      </c>
      <c r="B219" s="427" t="s">
        <v>1322</v>
      </c>
      <c r="C219" s="428"/>
      <c r="D219" s="378" t="s">
        <v>2973</v>
      </c>
      <c r="E219" s="379">
        <v>80</v>
      </c>
    </row>
    <row r="220" spans="1:6" ht="15" customHeight="1" x14ac:dyDescent="0.2">
      <c r="A220" s="426">
        <v>16102</v>
      </c>
      <c r="B220" s="427" t="s">
        <v>2415</v>
      </c>
      <c r="C220" s="428"/>
      <c r="D220" s="378" t="s">
        <v>2974</v>
      </c>
      <c r="E220" s="379">
        <v>80</v>
      </c>
    </row>
    <row r="221" spans="1:6" ht="15" customHeight="1" x14ac:dyDescent="0.2">
      <c r="A221" s="426"/>
      <c r="B221" s="427"/>
      <c r="C221" s="428"/>
      <c r="D221" s="373"/>
      <c r="E221" s="379"/>
    </row>
    <row r="222" spans="1:6" ht="15" customHeight="1" x14ac:dyDescent="0.2">
      <c r="A222" s="426"/>
      <c r="B222" s="427"/>
      <c r="C222" s="428"/>
      <c r="D222" s="373" t="s">
        <v>2975</v>
      </c>
      <c r="E222" s="388"/>
    </row>
    <row r="223" spans="1:6" ht="15" customHeight="1" x14ac:dyDescent="0.2">
      <c r="A223" s="426">
        <v>16330</v>
      </c>
      <c r="B223" s="427" t="s">
        <v>2213</v>
      </c>
      <c r="C223" s="428"/>
      <c r="D223" s="378" t="s">
        <v>2632</v>
      </c>
      <c r="E223" s="379">
        <v>1.3</v>
      </c>
    </row>
    <row r="224" spans="1:6" ht="15" customHeight="1" x14ac:dyDescent="0.2">
      <c r="A224" s="426">
        <v>16340</v>
      </c>
      <c r="B224" s="427" t="s">
        <v>2214</v>
      </c>
      <c r="C224" s="428"/>
      <c r="D224" s="378" t="s">
        <v>2633</v>
      </c>
      <c r="E224" s="379">
        <v>3</v>
      </c>
    </row>
    <row r="225" spans="1:6" ht="15" customHeight="1" x14ac:dyDescent="0.2">
      <c r="A225" s="426">
        <v>16325</v>
      </c>
      <c r="B225" s="427" t="s">
        <v>643</v>
      </c>
      <c r="C225" s="428"/>
      <c r="D225" s="378" t="s">
        <v>2631</v>
      </c>
      <c r="E225" s="379">
        <v>12</v>
      </c>
    </row>
    <row r="226" spans="1:6" ht="15" customHeight="1" x14ac:dyDescent="0.2">
      <c r="A226" s="375"/>
      <c r="B226" s="376"/>
      <c r="C226" s="377"/>
      <c r="D226" s="387"/>
      <c r="E226" s="388"/>
    </row>
    <row r="227" spans="1:6" ht="15" customHeight="1" x14ac:dyDescent="0.2">
      <c r="A227" s="426"/>
      <c r="B227" s="427"/>
      <c r="C227" s="428"/>
      <c r="D227" s="385" t="s">
        <v>2976</v>
      </c>
      <c r="E227" s="388"/>
    </row>
    <row r="228" spans="1:6" ht="21.6" customHeight="1" x14ac:dyDescent="0.2">
      <c r="A228" s="426"/>
      <c r="B228" s="427"/>
      <c r="C228" s="428"/>
      <c r="D228" s="378" t="s">
        <v>2977</v>
      </c>
      <c r="E228" s="388"/>
    </row>
    <row r="229" spans="1:6" ht="15" customHeight="1" x14ac:dyDescent="0.2">
      <c r="A229" s="426"/>
      <c r="B229" s="427"/>
      <c r="C229" s="428"/>
      <c r="D229" s="385" t="s">
        <v>2634</v>
      </c>
      <c r="E229" s="388"/>
    </row>
    <row r="230" spans="1:6" ht="15" customHeight="1" x14ac:dyDescent="0.2">
      <c r="A230" s="426">
        <v>15812</v>
      </c>
      <c r="B230" s="427" t="s">
        <v>2358</v>
      </c>
      <c r="C230" s="428"/>
      <c r="D230" s="378" t="s">
        <v>2978</v>
      </c>
      <c r="E230" s="379">
        <v>20</v>
      </c>
    </row>
    <row r="231" spans="1:6" ht="15" customHeight="1" x14ac:dyDescent="0.2">
      <c r="A231" s="426">
        <v>15813</v>
      </c>
      <c r="B231" s="427" t="s">
        <v>2359</v>
      </c>
      <c r="C231" s="428"/>
      <c r="D231" s="378" t="s">
        <v>2979</v>
      </c>
      <c r="E231" s="379">
        <v>20</v>
      </c>
    </row>
    <row r="232" spans="1:6" ht="15" customHeight="1" x14ac:dyDescent="0.2">
      <c r="A232" s="426">
        <v>15814</v>
      </c>
      <c r="B232" s="427" t="s">
        <v>1454</v>
      </c>
      <c r="C232" s="428"/>
      <c r="D232" s="378" t="s">
        <v>2635</v>
      </c>
      <c r="E232" s="388" t="s">
        <v>1456</v>
      </c>
    </row>
    <row r="233" spans="1:6" ht="15" customHeight="1" x14ac:dyDescent="0.2">
      <c r="A233" s="426"/>
      <c r="B233" s="427"/>
      <c r="C233" s="428"/>
      <c r="D233" s="385" t="s">
        <v>2636</v>
      </c>
      <c r="E233" s="388"/>
    </row>
    <row r="234" spans="1:6" ht="15" customHeight="1" x14ac:dyDescent="0.2">
      <c r="A234" s="426"/>
      <c r="B234" s="427"/>
      <c r="C234" s="428"/>
      <c r="D234" s="385" t="s">
        <v>2564</v>
      </c>
      <c r="E234" s="388"/>
    </row>
    <row r="235" spans="1:6" ht="15" customHeight="1" x14ac:dyDescent="0.2">
      <c r="A235" s="426">
        <v>15161</v>
      </c>
      <c r="B235" s="427" t="s">
        <v>778</v>
      </c>
      <c r="C235" s="428"/>
      <c r="D235" s="378" t="s">
        <v>2637</v>
      </c>
      <c r="E235" s="379">
        <v>20</v>
      </c>
    </row>
    <row r="236" spans="1:6" ht="15" customHeight="1" x14ac:dyDescent="0.2">
      <c r="A236" s="426">
        <v>15171</v>
      </c>
      <c r="B236" s="427" t="s">
        <v>2354</v>
      </c>
      <c r="C236" s="428"/>
      <c r="D236" s="378" t="s">
        <v>2638</v>
      </c>
      <c r="E236" s="379">
        <v>50</v>
      </c>
    </row>
    <row r="237" spans="1:6" ht="15" customHeight="1" x14ac:dyDescent="0.2">
      <c r="A237" s="426"/>
      <c r="B237" s="427"/>
      <c r="C237" s="428"/>
      <c r="D237" s="378"/>
      <c r="E237" s="388"/>
    </row>
    <row r="238" spans="1:6" ht="15" customHeight="1" x14ac:dyDescent="0.2">
      <c r="A238" s="375"/>
      <c r="B238" s="376"/>
      <c r="C238" s="377"/>
      <c r="D238" s="373" t="s">
        <v>2980</v>
      </c>
      <c r="E238" s="388"/>
      <c r="F238" s="260" t="s">
        <v>86</v>
      </c>
    </row>
    <row r="239" spans="1:6" ht="15" customHeight="1" x14ac:dyDescent="0.2">
      <c r="A239" s="375">
        <v>32070</v>
      </c>
      <c r="B239" s="376" t="s">
        <v>839</v>
      </c>
      <c r="C239" s="377"/>
      <c r="D239" s="387" t="s">
        <v>2648</v>
      </c>
      <c r="E239" s="379">
        <v>25</v>
      </c>
    </row>
    <row r="240" spans="1:6" ht="15" customHeight="1" x14ac:dyDescent="0.2">
      <c r="A240" s="375">
        <v>32080</v>
      </c>
      <c r="B240" s="376" t="s">
        <v>2410</v>
      </c>
      <c r="C240" s="377"/>
      <c r="D240" s="387" t="s">
        <v>2649</v>
      </c>
      <c r="E240" s="379">
        <v>35</v>
      </c>
    </row>
    <row r="241" spans="1:5" ht="15" customHeight="1" thickBot="1" x14ac:dyDescent="0.25">
      <c r="A241" s="435">
        <v>32090</v>
      </c>
      <c r="B241" s="436" t="s">
        <v>826</v>
      </c>
      <c r="C241" s="437"/>
      <c r="D241" s="438" t="s">
        <v>2650</v>
      </c>
      <c r="E241" s="439">
        <v>35</v>
      </c>
    </row>
    <row r="242" spans="1:5" ht="5.0999999999999996" customHeight="1" x14ac:dyDescent="0.2">
      <c r="A242" s="440"/>
      <c r="B242" s="440"/>
      <c r="C242" s="440"/>
      <c r="D242" s="440"/>
      <c r="E242" s="441"/>
    </row>
    <row r="243" spans="1:5" x14ac:dyDescent="0.2">
      <c r="A243" s="442" t="s">
        <v>2981</v>
      </c>
      <c r="B243" s="440"/>
      <c r="C243" s="440"/>
      <c r="D243" s="440"/>
      <c r="E243" s="441"/>
    </row>
    <row r="244" spans="1:5" x14ac:dyDescent="0.2">
      <c r="A244" s="502" t="s">
        <v>2982</v>
      </c>
      <c r="B244" s="502"/>
      <c r="C244" s="502"/>
      <c r="D244" s="502"/>
      <c r="E244" s="502"/>
    </row>
    <row r="245" spans="1:5" x14ac:dyDescent="0.2">
      <c r="A245" s="443" t="s">
        <v>2983</v>
      </c>
    </row>
    <row r="246" spans="1:5" x14ac:dyDescent="0.2">
      <c r="A246" s="443"/>
    </row>
    <row r="247" spans="1:5" x14ac:dyDescent="0.2">
      <c r="D247" s="386" t="s">
        <v>86</v>
      </c>
    </row>
  </sheetData>
  <mergeCells count="6">
    <mergeCell ref="A244:E244"/>
    <mergeCell ref="A1:E1"/>
    <mergeCell ref="A3:C3"/>
    <mergeCell ref="D3:D4"/>
    <mergeCell ref="E3:E4"/>
    <mergeCell ref="B4:C4"/>
  </mergeCells>
  <conditionalFormatting sqref="D144">
    <cfRule type="duplicateValues" dxfId="2" priority="1"/>
    <cfRule type="duplicateValues" dxfId="1" priority="2"/>
    <cfRule type="duplicateValues" dxfId="0" priority="3"/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419E2-3694-4331-95AA-AEA73BE6B844}">
  <dimension ref="A1:D319"/>
  <sheetViews>
    <sheetView showGridLines="0" showRowColHeaders="0" workbookViewId="0">
      <selection activeCell="K6" sqref="K6"/>
    </sheetView>
  </sheetViews>
  <sheetFormatPr defaultColWidth="8.7109375" defaultRowHeight="12.75" x14ac:dyDescent="0.2"/>
  <cols>
    <col min="1" max="1" width="6.42578125" style="191" customWidth="1"/>
    <col min="2" max="2" width="55.5703125" style="191" customWidth="1"/>
    <col min="3" max="3" width="6.42578125" style="191" customWidth="1"/>
    <col min="4" max="4" width="7.28515625" style="191" customWidth="1"/>
    <col min="5" max="16384" width="8.7109375" style="191"/>
  </cols>
  <sheetData>
    <row r="1" spans="1:4" ht="38.1" customHeight="1" x14ac:dyDescent="0.2">
      <c r="A1" s="489" t="s">
        <v>2651</v>
      </c>
      <c r="B1" s="489"/>
      <c r="C1" s="489"/>
      <c r="D1" s="240"/>
    </row>
    <row r="2" spans="1:4" s="193" customFormat="1" ht="13.5" x14ac:dyDescent="0.25"/>
    <row r="3" spans="1:4" s="193" customFormat="1" ht="13.5" x14ac:dyDescent="0.25">
      <c r="A3" s="222" t="s">
        <v>0</v>
      </c>
      <c r="B3" s="222" t="s">
        <v>2652</v>
      </c>
      <c r="C3" s="222" t="s">
        <v>1449</v>
      </c>
    </row>
    <row r="4" spans="1:4" s="193" customFormat="1" ht="13.5" x14ac:dyDescent="0.25">
      <c r="A4" s="206" t="s">
        <v>895</v>
      </c>
      <c r="B4" s="211" t="s">
        <v>2653</v>
      </c>
      <c r="C4" s="230">
        <v>7.75</v>
      </c>
    </row>
    <row r="5" spans="1:4" s="193" customFormat="1" ht="13.5" x14ac:dyDescent="0.25">
      <c r="A5" s="206" t="s">
        <v>1595</v>
      </c>
      <c r="B5" s="211" t="s">
        <v>2654</v>
      </c>
      <c r="C5" s="230">
        <v>7.75</v>
      </c>
    </row>
    <row r="6" spans="1:4" s="193" customFormat="1" ht="13.5" x14ac:dyDescent="0.25">
      <c r="A6" s="206" t="s">
        <v>1596</v>
      </c>
      <c r="B6" s="211" t="s">
        <v>2655</v>
      </c>
      <c r="C6" s="230">
        <v>7.75</v>
      </c>
    </row>
    <row r="7" spans="1:4" s="193" customFormat="1" ht="13.5" x14ac:dyDescent="0.25">
      <c r="A7" s="206" t="s">
        <v>1688</v>
      </c>
      <c r="B7" s="211" t="s">
        <v>2656</v>
      </c>
      <c r="C7" s="230">
        <v>7.75</v>
      </c>
    </row>
    <row r="8" spans="1:4" s="193" customFormat="1" ht="13.5" x14ac:dyDescent="0.25">
      <c r="A8" s="206" t="s">
        <v>1586</v>
      </c>
      <c r="B8" s="211" t="s">
        <v>2657</v>
      </c>
      <c r="C8" s="230">
        <v>7.75</v>
      </c>
    </row>
    <row r="9" spans="1:4" s="193" customFormat="1" ht="13.5" x14ac:dyDescent="0.25">
      <c r="A9" s="206" t="s">
        <v>1591</v>
      </c>
      <c r="B9" s="211" t="s">
        <v>2658</v>
      </c>
      <c r="C9" s="230">
        <v>7.75</v>
      </c>
    </row>
    <row r="10" spans="1:4" s="193" customFormat="1" ht="13.5" x14ac:dyDescent="0.25">
      <c r="A10" s="206" t="s">
        <v>1589</v>
      </c>
      <c r="B10" s="211" t="s">
        <v>2659</v>
      </c>
      <c r="C10" s="230">
        <v>7.75</v>
      </c>
    </row>
    <row r="11" spans="1:4" s="193" customFormat="1" ht="13.5" x14ac:dyDescent="0.25">
      <c r="A11" s="206" t="s">
        <v>1568</v>
      </c>
      <c r="B11" s="211" t="s">
        <v>2660</v>
      </c>
      <c r="C11" s="230">
        <v>7.75</v>
      </c>
    </row>
    <row r="12" spans="1:4" s="193" customFormat="1" ht="13.5" x14ac:dyDescent="0.25">
      <c r="A12" s="206" t="s">
        <v>1570</v>
      </c>
      <c r="B12" s="211" t="s">
        <v>2661</v>
      </c>
      <c r="C12" s="230">
        <v>7.75</v>
      </c>
    </row>
    <row r="13" spans="1:4" s="193" customFormat="1" ht="13.5" x14ac:dyDescent="0.25">
      <c r="A13" s="206" t="s">
        <v>1572</v>
      </c>
      <c r="B13" s="211" t="s">
        <v>2662</v>
      </c>
      <c r="C13" s="230">
        <v>7.75</v>
      </c>
    </row>
    <row r="14" spans="1:4" s="193" customFormat="1" ht="13.5" x14ac:dyDescent="0.25">
      <c r="A14" s="206" t="s">
        <v>1044</v>
      </c>
      <c r="B14" s="211" t="s">
        <v>2663</v>
      </c>
      <c r="C14" s="230">
        <v>7.75</v>
      </c>
    </row>
    <row r="15" spans="1:4" s="193" customFormat="1" ht="13.5" x14ac:dyDescent="0.25">
      <c r="A15" s="206" t="s">
        <v>1575</v>
      </c>
      <c r="B15" s="211" t="s">
        <v>2664</v>
      </c>
      <c r="C15" s="230">
        <v>7.75</v>
      </c>
    </row>
    <row r="16" spans="1:4" s="193" customFormat="1" ht="13.5" x14ac:dyDescent="0.25">
      <c r="A16" s="206" t="s">
        <v>1577</v>
      </c>
      <c r="B16" s="211" t="s">
        <v>2665</v>
      </c>
      <c r="C16" s="230">
        <v>7.75</v>
      </c>
    </row>
    <row r="17" spans="1:3" s="193" customFormat="1" ht="13.5" x14ac:dyDescent="0.25">
      <c r="A17" s="206" t="s">
        <v>1580</v>
      </c>
      <c r="B17" s="211" t="s">
        <v>2666</v>
      </c>
      <c r="C17" s="230">
        <v>7.75</v>
      </c>
    </row>
    <row r="18" spans="1:3" s="193" customFormat="1" ht="13.5" x14ac:dyDescent="0.25">
      <c r="A18" s="206" t="s">
        <v>1582</v>
      </c>
      <c r="B18" s="211" t="s">
        <v>2667</v>
      </c>
      <c r="C18" s="230">
        <v>7.75</v>
      </c>
    </row>
    <row r="19" spans="1:3" s="193" customFormat="1" ht="13.5" x14ac:dyDescent="0.25">
      <c r="A19" s="206" t="s">
        <v>1002</v>
      </c>
      <c r="B19" s="211" t="s">
        <v>2668</v>
      </c>
      <c r="C19" s="230">
        <v>7.75</v>
      </c>
    </row>
    <row r="20" spans="1:3" s="193" customFormat="1" ht="13.5" x14ac:dyDescent="0.25">
      <c r="A20" s="206" t="s">
        <v>1436</v>
      </c>
      <c r="B20" s="211" t="s">
        <v>2669</v>
      </c>
      <c r="C20" s="230">
        <v>7.75</v>
      </c>
    </row>
    <row r="21" spans="1:3" s="193" customFormat="1" ht="13.5" x14ac:dyDescent="0.25">
      <c r="A21" s="206" t="s">
        <v>1618</v>
      </c>
      <c r="B21" s="211" t="s">
        <v>2670</v>
      </c>
      <c r="C21" s="230">
        <v>7.75</v>
      </c>
    </row>
    <row r="22" spans="1:3" s="193" customFormat="1" ht="13.5" x14ac:dyDescent="0.25">
      <c r="A22" s="206" t="s">
        <v>1648</v>
      </c>
      <c r="B22" s="211" t="s">
        <v>2671</v>
      </c>
      <c r="C22" s="230">
        <v>7.75</v>
      </c>
    </row>
    <row r="23" spans="1:3" s="193" customFormat="1" ht="13.5" x14ac:dyDescent="0.25">
      <c r="A23" s="206" t="s">
        <v>1415</v>
      </c>
      <c r="B23" s="211" t="s">
        <v>2672</v>
      </c>
      <c r="C23" s="230">
        <v>7.75</v>
      </c>
    </row>
    <row r="24" spans="1:3" s="193" customFormat="1" ht="13.5" x14ac:dyDescent="0.25">
      <c r="A24" s="206" t="s">
        <v>2018</v>
      </c>
      <c r="B24" s="211" t="s">
        <v>2673</v>
      </c>
      <c r="C24" s="230">
        <v>7.75</v>
      </c>
    </row>
    <row r="25" spans="1:3" s="193" customFormat="1" ht="13.5" x14ac:dyDescent="0.25">
      <c r="A25" s="206" t="s">
        <v>897</v>
      </c>
      <c r="B25" s="211" t="s">
        <v>2674</v>
      </c>
      <c r="C25" s="230">
        <v>7.75</v>
      </c>
    </row>
    <row r="26" spans="1:3" s="193" customFormat="1" ht="13.5" x14ac:dyDescent="0.25">
      <c r="A26" s="206" t="s">
        <v>1718</v>
      </c>
      <c r="B26" s="211" t="s">
        <v>2675</v>
      </c>
      <c r="C26" s="230">
        <v>7.75</v>
      </c>
    </row>
    <row r="27" spans="1:3" s="193" customFormat="1" ht="13.5" x14ac:dyDescent="0.25">
      <c r="A27" s="206" t="s">
        <v>1626</v>
      </c>
      <c r="B27" s="211" t="s">
        <v>2676</v>
      </c>
      <c r="C27" s="230">
        <v>7.75</v>
      </c>
    </row>
    <row r="28" spans="1:3" s="193" customFormat="1" ht="13.5" x14ac:dyDescent="0.25">
      <c r="A28" s="206" t="s">
        <v>901</v>
      </c>
      <c r="B28" s="211" t="s">
        <v>2677</v>
      </c>
      <c r="C28" s="230">
        <v>7.75</v>
      </c>
    </row>
    <row r="29" spans="1:3" s="193" customFormat="1" ht="13.5" x14ac:dyDescent="0.25">
      <c r="A29" s="206" t="s">
        <v>1710</v>
      </c>
      <c r="B29" s="211" t="s">
        <v>2678</v>
      </c>
      <c r="C29" s="230">
        <v>7.75</v>
      </c>
    </row>
    <row r="30" spans="1:3" s="193" customFormat="1" ht="13.5" x14ac:dyDescent="0.25">
      <c r="A30" s="206" t="s">
        <v>1417</v>
      </c>
      <c r="B30" s="211" t="s">
        <v>2679</v>
      </c>
      <c r="C30" s="230">
        <v>7.75</v>
      </c>
    </row>
    <row r="31" spans="1:3" s="193" customFormat="1" ht="13.5" x14ac:dyDescent="0.25">
      <c r="A31" s="206" t="s">
        <v>1639</v>
      </c>
      <c r="B31" s="211" t="s">
        <v>2680</v>
      </c>
      <c r="C31" s="230">
        <v>7.75</v>
      </c>
    </row>
    <row r="32" spans="1:3" s="193" customFormat="1" ht="13.5" x14ac:dyDescent="0.25">
      <c r="A32" s="206" t="s">
        <v>958</v>
      </c>
      <c r="B32" s="211" t="s">
        <v>2681</v>
      </c>
      <c r="C32" s="230">
        <v>7.75</v>
      </c>
    </row>
    <row r="33" spans="1:3" s="193" customFormat="1" ht="13.5" x14ac:dyDescent="0.25">
      <c r="A33" s="206" t="s">
        <v>1431</v>
      </c>
      <c r="B33" s="211" t="s">
        <v>2682</v>
      </c>
      <c r="C33" s="230">
        <v>7.75</v>
      </c>
    </row>
    <row r="34" spans="1:3" s="193" customFormat="1" ht="13.5" x14ac:dyDescent="0.25">
      <c r="A34" s="206" t="s">
        <v>1624</v>
      </c>
      <c r="B34" s="211" t="s">
        <v>2683</v>
      </c>
      <c r="C34" s="230">
        <v>7.75</v>
      </c>
    </row>
    <row r="35" spans="1:3" s="193" customFormat="1" ht="13.5" x14ac:dyDescent="0.25">
      <c r="A35" s="206" t="s">
        <v>1720</v>
      </c>
      <c r="B35" s="211" t="s">
        <v>2684</v>
      </c>
      <c r="C35" s="230">
        <v>7.75</v>
      </c>
    </row>
    <row r="36" spans="1:3" s="193" customFormat="1" ht="13.5" x14ac:dyDescent="0.25">
      <c r="A36" s="206" t="s">
        <v>2019</v>
      </c>
      <c r="B36" s="211" t="s">
        <v>2685</v>
      </c>
      <c r="C36" s="230">
        <v>7.75</v>
      </c>
    </row>
    <row r="37" spans="1:3" s="193" customFormat="1" ht="13.5" x14ac:dyDescent="0.25">
      <c r="A37" s="206" t="s">
        <v>1404</v>
      </c>
      <c r="B37" s="211" t="s">
        <v>2686</v>
      </c>
      <c r="C37" s="230">
        <v>7.75</v>
      </c>
    </row>
    <row r="38" spans="1:3" s="193" customFormat="1" ht="13.5" x14ac:dyDescent="0.25">
      <c r="A38" s="206" t="s">
        <v>928</v>
      </c>
      <c r="B38" s="211" t="s">
        <v>2687</v>
      </c>
      <c r="C38" s="230">
        <v>7.75</v>
      </c>
    </row>
    <row r="39" spans="1:3" s="193" customFormat="1" ht="13.5" x14ac:dyDescent="0.25">
      <c r="A39" s="206" t="s">
        <v>2020</v>
      </c>
      <c r="B39" s="211" t="s">
        <v>2688</v>
      </c>
      <c r="C39" s="230">
        <v>7.75</v>
      </c>
    </row>
    <row r="40" spans="1:3" s="193" customFormat="1" ht="13.5" x14ac:dyDescent="0.25">
      <c r="A40" s="206" t="s">
        <v>1613</v>
      </c>
      <c r="B40" s="211" t="s">
        <v>2689</v>
      </c>
      <c r="C40" s="230">
        <v>7.75</v>
      </c>
    </row>
    <row r="41" spans="1:3" s="193" customFormat="1" ht="13.5" x14ac:dyDescent="0.25">
      <c r="A41" s="206" t="s">
        <v>1615</v>
      </c>
      <c r="B41" s="211" t="s">
        <v>2690</v>
      </c>
      <c r="C41" s="230">
        <v>7.75</v>
      </c>
    </row>
    <row r="42" spans="1:3" s="193" customFormat="1" ht="13.5" x14ac:dyDescent="0.25">
      <c r="A42" s="206" t="s">
        <v>1727</v>
      </c>
      <c r="B42" s="211" t="s">
        <v>2691</v>
      </c>
      <c r="C42" s="230">
        <v>7.75</v>
      </c>
    </row>
    <row r="43" spans="1:3" s="193" customFormat="1" ht="13.5" x14ac:dyDescent="0.25">
      <c r="A43" s="206" t="s">
        <v>2003</v>
      </c>
      <c r="B43" s="211" t="s">
        <v>2692</v>
      </c>
      <c r="C43" s="230">
        <v>7.75</v>
      </c>
    </row>
    <row r="44" spans="1:3" s="193" customFormat="1" ht="13.5" x14ac:dyDescent="0.25">
      <c r="A44" s="206" t="s">
        <v>933</v>
      </c>
      <c r="B44" s="211" t="s">
        <v>2693</v>
      </c>
      <c r="C44" s="230">
        <v>7.75</v>
      </c>
    </row>
    <row r="45" spans="1:3" s="193" customFormat="1" ht="13.5" x14ac:dyDescent="0.25">
      <c r="A45" s="206" t="s">
        <v>1933</v>
      </c>
      <c r="B45" s="211" t="s">
        <v>2694</v>
      </c>
      <c r="C45" s="230">
        <v>7.75</v>
      </c>
    </row>
    <row r="46" spans="1:3" s="193" customFormat="1" ht="13.5" x14ac:dyDescent="0.25">
      <c r="A46" s="206" t="s">
        <v>1731</v>
      </c>
      <c r="B46" s="211" t="s">
        <v>2695</v>
      </c>
      <c r="C46" s="230">
        <v>7.75</v>
      </c>
    </row>
    <row r="47" spans="1:3" s="193" customFormat="1" ht="13.5" x14ac:dyDescent="0.25">
      <c r="A47" s="206" t="s">
        <v>1019</v>
      </c>
      <c r="B47" s="211" t="s">
        <v>2696</v>
      </c>
      <c r="C47" s="230">
        <v>7.75</v>
      </c>
    </row>
    <row r="48" spans="1:3" s="193" customFormat="1" ht="13.5" x14ac:dyDescent="0.25">
      <c r="A48" s="206" t="s">
        <v>1021</v>
      </c>
      <c r="B48" s="211" t="s">
        <v>2697</v>
      </c>
      <c r="C48" s="230">
        <v>7.75</v>
      </c>
    </row>
    <row r="49" spans="1:3" s="193" customFormat="1" ht="13.5" x14ac:dyDescent="0.25">
      <c r="A49" s="206" t="s">
        <v>1023</v>
      </c>
      <c r="B49" s="211" t="s">
        <v>2698</v>
      </c>
      <c r="C49" s="230">
        <v>7.75</v>
      </c>
    </row>
    <row r="50" spans="1:3" s="193" customFormat="1" ht="13.5" x14ac:dyDescent="0.25">
      <c r="A50" s="206" t="s">
        <v>1027</v>
      </c>
      <c r="B50" s="211" t="s">
        <v>2699</v>
      </c>
      <c r="C50" s="230">
        <v>7.75</v>
      </c>
    </row>
    <row r="51" spans="1:3" s="193" customFormat="1" ht="13.5" x14ac:dyDescent="0.25">
      <c r="A51" s="206" t="s">
        <v>1025</v>
      </c>
      <c r="B51" s="211" t="s">
        <v>2700</v>
      </c>
      <c r="C51" s="230">
        <v>7.75</v>
      </c>
    </row>
    <row r="52" spans="1:3" s="193" customFormat="1" ht="13.5" x14ac:dyDescent="0.25">
      <c r="A52" s="206" t="s">
        <v>1842</v>
      </c>
      <c r="B52" s="211" t="s">
        <v>2701</v>
      </c>
      <c r="C52" s="230">
        <v>7.75</v>
      </c>
    </row>
    <row r="53" spans="1:3" s="193" customFormat="1" ht="13.5" x14ac:dyDescent="0.25">
      <c r="A53" s="206" t="s">
        <v>1029</v>
      </c>
      <c r="B53" s="211" t="s">
        <v>2702</v>
      </c>
      <c r="C53" s="230">
        <v>7.75</v>
      </c>
    </row>
    <row r="54" spans="1:3" s="193" customFormat="1" ht="13.5" x14ac:dyDescent="0.25">
      <c r="A54" s="206" t="s">
        <v>1031</v>
      </c>
      <c r="B54" s="211" t="s">
        <v>2703</v>
      </c>
      <c r="C54" s="230">
        <v>7.75</v>
      </c>
    </row>
    <row r="55" spans="1:3" s="193" customFormat="1" ht="13.5" x14ac:dyDescent="0.25">
      <c r="A55" s="206" t="s">
        <v>1033</v>
      </c>
      <c r="B55" s="211" t="s">
        <v>2704</v>
      </c>
      <c r="C55" s="230">
        <v>7.75</v>
      </c>
    </row>
    <row r="56" spans="1:3" s="193" customFormat="1" ht="13.5" x14ac:dyDescent="0.25">
      <c r="A56" s="206" t="s">
        <v>1035</v>
      </c>
      <c r="B56" s="211" t="s">
        <v>2705</v>
      </c>
      <c r="C56" s="230">
        <v>7.75</v>
      </c>
    </row>
    <row r="57" spans="1:3" s="193" customFormat="1" ht="13.5" x14ac:dyDescent="0.25">
      <c r="A57" s="206" t="s">
        <v>1037</v>
      </c>
      <c r="B57" s="211" t="s">
        <v>2706</v>
      </c>
      <c r="C57" s="230">
        <v>7.75</v>
      </c>
    </row>
    <row r="58" spans="1:3" s="193" customFormat="1" ht="13.5" x14ac:dyDescent="0.25">
      <c r="A58" s="206" t="s">
        <v>2021</v>
      </c>
      <c r="B58" s="211" t="s">
        <v>2707</v>
      </c>
      <c r="C58" s="230">
        <v>7.75</v>
      </c>
    </row>
    <row r="59" spans="1:3" s="193" customFormat="1" ht="13.5" x14ac:dyDescent="0.25">
      <c r="A59" s="206" t="s">
        <v>1737</v>
      </c>
      <c r="B59" s="211" t="s">
        <v>2708</v>
      </c>
      <c r="C59" s="230">
        <v>7.75</v>
      </c>
    </row>
    <row r="60" spans="1:3" s="193" customFormat="1" ht="13.5" x14ac:dyDescent="0.25">
      <c r="A60" s="206" t="s">
        <v>1414</v>
      </c>
      <c r="B60" s="211" t="s">
        <v>2709</v>
      </c>
      <c r="C60" s="230">
        <v>7.75</v>
      </c>
    </row>
    <row r="61" spans="1:3" s="193" customFormat="1" ht="13.5" x14ac:dyDescent="0.25">
      <c r="A61" s="206" t="s">
        <v>1748</v>
      </c>
      <c r="B61" s="211" t="s">
        <v>2710</v>
      </c>
      <c r="C61" s="230">
        <v>7.75</v>
      </c>
    </row>
    <row r="62" spans="1:3" s="193" customFormat="1" ht="13.5" x14ac:dyDescent="0.25">
      <c r="A62" s="206" t="s">
        <v>1832</v>
      </c>
      <c r="B62" s="211" t="s">
        <v>2711</v>
      </c>
      <c r="C62" s="230">
        <v>7.75</v>
      </c>
    </row>
    <row r="63" spans="1:3" s="193" customFormat="1" ht="13.5" x14ac:dyDescent="0.25">
      <c r="A63" s="206" t="s">
        <v>2022</v>
      </c>
      <c r="B63" s="211" t="s">
        <v>2712</v>
      </c>
      <c r="C63" s="230">
        <v>7.75</v>
      </c>
    </row>
    <row r="64" spans="1:3" s="193" customFormat="1" ht="13.5" x14ac:dyDescent="0.25">
      <c r="A64" s="206" t="s">
        <v>2023</v>
      </c>
      <c r="B64" s="211" t="s">
        <v>2713</v>
      </c>
      <c r="C64" s="230">
        <v>7.75</v>
      </c>
    </row>
    <row r="65" spans="1:3" s="193" customFormat="1" ht="13.5" x14ac:dyDescent="0.25">
      <c r="A65" s="206" t="s">
        <v>2024</v>
      </c>
      <c r="B65" s="211" t="s">
        <v>2714</v>
      </c>
      <c r="C65" s="230">
        <v>7.75</v>
      </c>
    </row>
    <row r="66" spans="1:3" s="193" customFormat="1" ht="13.5" x14ac:dyDescent="0.25">
      <c r="A66" s="206" t="s">
        <v>917</v>
      </c>
      <c r="B66" s="211" t="s">
        <v>2715</v>
      </c>
      <c r="C66" s="230">
        <v>7.75</v>
      </c>
    </row>
    <row r="67" spans="1:3" s="193" customFormat="1" ht="13.5" x14ac:dyDescent="0.25">
      <c r="A67" s="206" t="s">
        <v>2036</v>
      </c>
      <c r="B67" s="211" t="s">
        <v>2716</v>
      </c>
      <c r="C67" s="230">
        <v>7.75</v>
      </c>
    </row>
    <row r="68" spans="1:3" s="193" customFormat="1" ht="13.5" x14ac:dyDescent="0.25">
      <c r="A68" s="206" t="s">
        <v>1856</v>
      </c>
      <c r="B68" s="211" t="s">
        <v>2717</v>
      </c>
      <c r="C68" s="230">
        <v>7.75</v>
      </c>
    </row>
    <row r="69" spans="1:3" s="193" customFormat="1" ht="13.5" x14ac:dyDescent="0.25">
      <c r="A69" s="206" t="s">
        <v>2037</v>
      </c>
      <c r="B69" s="211" t="s">
        <v>2718</v>
      </c>
      <c r="C69" s="230">
        <v>7.75</v>
      </c>
    </row>
    <row r="70" spans="1:3" s="193" customFormat="1" ht="13.5" x14ac:dyDescent="0.25">
      <c r="A70" s="206" t="s">
        <v>2038</v>
      </c>
      <c r="B70" s="211" t="s">
        <v>2719</v>
      </c>
      <c r="C70" s="230">
        <v>7.75</v>
      </c>
    </row>
    <row r="71" spans="1:3" s="193" customFormat="1" ht="13.5" x14ac:dyDescent="0.25">
      <c r="A71" s="206" t="s">
        <v>1741</v>
      </c>
      <c r="B71" s="211" t="s">
        <v>2720</v>
      </c>
      <c r="C71" s="230">
        <v>7.75</v>
      </c>
    </row>
    <row r="72" spans="1:3" s="193" customFormat="1" ht="13.5" x14ac:dyDescent="0.25">
      <c r="A72" s="206" t="s">
        <v>2025</v>
      </c>
      <c r="B72" s="211" t="s">
        <v>2721</v>
      </c>
      <c r="C72" s="230">
        <v>7.75</v>
      </c>
    </row>
    <row r="73" spans="1:3" s="193" customFormat="1" ht="13.5" x14ac:dyDescent="0.25">
      <c r="A73" s="206" t="s">
        <v>2026</v>
      </c>
      <c r="B73" s="211" t="s">
        <v>2722</v>
      </c>
      <c r="C73" s="230">
        <v>7.75</v>
      </c>
    </row>
    <row r="74" spans="1:3" s="193" customFormat="1" ht="13.5" x14ac:dyDescent="0.25">
      <c r="A74" s="206" t="s">
        <v>2027</v>
      </c>
      <c r="B74" s="211" t="s">
        <v>2723</v>
      </c>
      <c r="C74" s="230">
        <v>7.75</v>
      </c>
    </row>
    <row r="75" spans="1:3" s="193" customFormat="1" ht="13.5" x14ac:dyDescent="0.25">
      <c r="A75" s="206" t="s">
        <v>1743</v>
      </c>
      <c r="B75" s="211" t="s">
        <v>2724</v>
      </c>
      <c r="C75" s="230">
        <v>7.75</v>
      </c>
    </row>
    <row r="76" spans="1:3" s="193" customFormat="1" ht="13.5" x14ac:dyDescent="0.25">
      <c r="A76" s="206" t="s">
        <v>2028</v>
      </c>
      <c r="B76" s="211" t="s">
        <v>2725</v>
      </c>
      <c r="C76" s="230">
        <v>7.75</v>
      </c>
    </row>
    <row r="77" spans="1:3" s="193" customFormat="1" ht="13.5" x14ac:dyDescent="0.25">
      <c r="A77" s="206" t="s">
        <v>1412</v>
      </c>
      <c r="B77" s="211" t="s">
        <v>2726</v>
      </c>
      <c r="C77" s="230">
        <v>7.75</v>
      </c>
    </row>
    <row r="78" spans="1:3" s="193" customFormat="1" ht="13.5" x14ac:dyDescent="0.25">
      <c r="A78" s="206" t="s">
        <v>992</v>
      </c>
      <c r="B78" s="211" t="s">
        <v>2727</v>
      </c>
      <c r="C78" s="230">
        <v>7.75</v>
      </c>
    </row>
    <row r="79" spans="1:3" s="193" customFormat="1" ht="13.5" x14ac:dyDescent="0.25">
      <c r="A79" s="206" t="s">
        <v>1859</v>
      </c>
      <c r="B79" s="211" t="s">
        <v>2728</v>
      </c>
      <c r="C79" s="230">
        <v>7.75</v>
      </c>
    </row>
    <row r="80" spans="1:3" s="193" customFormat="1" ht="13.5" x14ac:dyDescent="0.25">
      <c r="A80" s="206" t="s">
        <v>2029</v>
      </c>
      <c r="B80" s="211" t="s">
        <v>2729</v>
      </c>
      <c r="C80" s="230">
        <v>7.75</v>
      </c>
    </row>
    <row r="81" spans="1:3" s="193" customFormat="1" ht="13.5" x14ac:dyDescent="0.25">
      <c r="A81" s="206" t="s">
        <v>2030</v>
      </c>
      <c r="B81" s="211" t="s">
        <v>2730</v>
      </c>
      <c r="C81" s="230">
        <v>7.75</v>
      </c>
    </row>
    <row r="82" spans="1:3" s="193" customFormat="1" ht="13.5" x14ac:dyDescent="0.25">
      <c r="A82" s="206" t="s">
        <v>947</v>
      </c>
      <c r="B82" s="211" t="s">
        <v>2731</v>
      </c>
      <c r="C82" s="230">
        <v>7.75</v>
      </c>
    </row>
    <row r="83" spans="1:3" s="193" customFormat="1" ht="13.5" x14ac:dyDescent="0.25">
      <c r="A83" s="206" t="s">
        <v>950</v>
      </c>
      <c r="B83" s="211" t="s">
        <v>2732</v>
      </c>
      <c r="C83" s="230">
        <v>7.75</v>
      </c>
    </row>
    <row r="84" spans="1:3" s="193" customFormat="1" ht="13.5" x14ac:dyDescent="0.25">
      <c r="A84" s="206" t="s">
        <v>899</v>
      </c>
      <c r="B84" s="211" t="s">
        <v>2733</v>
      </c>
      <c r="C84" s="230">
        <v>7.75</v>
      </c>
    </row>
    <row r="85" spans="1:3" s="193" customFormat="1" ht="13.5" x14ac:dyDescent="0.25">
      <c r="A85" s="206" t="s">
        <v>2032</v>
      </c>
      <c r="B85" s="211" t="s">
        <v>2734</v>
      </c>
      <c r="C85" s="230">
        <v>7.75</v>
      </c>
    </row>
    <row r="86" spans="1:3" s="193" customFormat="1" ht="13.5" x14ac:dyDescent="0.25">
      <c r="A86" s="206" t="s">
        <v>956</v>
      </c>
      <c r="B86" s="211" t="s">
        <v>2735</v>
      </c>
      <c r="C86" s="230">
        <v>7.75</v>
      </c>
    </row>
    <row r="87" spans="1:3" s="193" customFormat="1" ht="13.5" x14ac:dyDescent="0.25">
      <c r="A87" s="206" t="s">
        <v>954</v>
      </c>
      <c r="B87" s="211" t="s">
        <v>2736</v>
      </c>
      <c r="C87" s="230">
        <v>7.75</v>
      </c>
    </row>
    <row r="88" spans="1:3" s="193" customFormat="1" ht="13.5" x14ac:dyDescent="0.25">
      <c r="A88" s="206" t="s">
        <v>2033</v>
      </c>
      <c r="B88" s="211" t="s">
        <v>2737</v>
      </c>
      <c r="C88" s="230">
        <v>7.75</v>
      </c>
    </row>
    <row r="89" spans="1:3" s="193" customFormat="1" ht="13.5" x14ac:dyDescent="0.25">
      <c r="A89" s="206" t="s">
        <v>969</v>
      </c>
      <c r="B89" s="211" t="s">
        <v>2738</v>
      </c>
      <c r="C89" s="230">
        <v>7.75</v>
      </c>
    </row>
    <row r="90" spans="1:3" s="193" customFormat="1" ht="13.5" x14ac:dyDescent="0.25">
      <c r="A90" s="206" t="s">
        <v>911</v>
      </c>
      <c r="B90" s="211" t="s">
        <v>2739</v>
      </c>
      <c r="C90" s="230">
        <v>7.75</v>
      </c>
    </row>
    <row r="91" spans="1:3" s="193" customFormat="1" ht="13.5" x14ac:dyDescent="0.25">
      <c r="A91" s="206" t="s">
        <v>2034</v>
      </c>
      <c r="B91" s="211" t="s">
        <v>2740</v>
      </c>
      <c r="C91" s="230">
        <v>7.75</v>
      </c>
    </row>
    <row r="92" spans="1:3" s="193" customFormat="1" ht="13.5" x14ac:dyDescent="0.25">
      <c r="A92" s="206" t="s">
        <v>2035</v>
      </c>
      <c r="B92" s="211" t="s">
        <v>2741</v>
      </c>
      <c r="C92" s="230">
        <v>7.75</v>
      </c>
    </row>
    <row r="93" spans="1:3" s="193" customFormat="1" ht="13.5" x14ac:dyDescent="0.25">
      <c r="A93" s="206" t="s">
        <v>1836</v>
      </c>
      <c r="B93" s="211" t="s">
        <v>2742</v>
      </c>
      <c r="C93" s="230">
        <v>7.75</v>
      </c>
    </row>
    <row r="94" spans="1:3" s="193" customFormat="1" ht="13.5" x14ac:dyDescent="0.25">
      <c r="A94" s="206" t="s">
        <v>935</v>
      </c>
      <c r="B94" s="211" t="s">
        <v>2743</v>
      </c>
      <c r="C94" s="230">
        <v>7.75</v>
      </c>
    </row>
    <row r="95" spans="1:3" s="193" customFormat="1" ht="13.5" x14ac:dyDescent="0.25">
      <c r="A95" s="206" t="s">
        <v>1761</v>
      </c>
      <c r="B95" s="211" t="s">
        <v>2744</v>
      </c>
      <c r="C95" s="230">
        <v>7.75</v>
      </c>
    </row>
    <row r="96" spans="1:3" s="193" customFormat="1" ht="13.5" x14ac:dyDescent="0.25">
      <c r="A96" s="206" t="s">
        <v>1668</v>
      </c>
      <c r="B96" s="211" t="s">
        <v>2745</v>
      </c>
      <c r="C96" s="230">
        <v>7.75</v>
      </c>
    </row>
    <row r="97" spans="1:3" s="193" customFormat="1" ht="13.5" x14ac:dyDescent="0.25">
      <c r="A97" s="206" t="s">
        <v>1670</v>
      </c>
      <c r="B97" s="211" t="s">
        <v>2746</v>
      </c>
      <c r="C97" s="230">
        <v>7.75</v>
      </c>
    </row>
    <row r="98" spans="1:3" s="193" customFormat="1" ht="13.5" x14ac:dyDescent="0.25">
      <c r="A98" s="206" t="s">
        <v>1672</v>
      </c>
      <c r="B98" s="211" t="s">
        <v>2747</v>
      </c>
      <c r="C98" s="230">
        <v>7.75</v>
      </c>
    </row>
    <row r="99" spans="1:3" s="193" customFormat="1" ht="13.5" x14ac:dyDescent="0.25">
      <c r="A99" s="206" t="s">
        <v>1772</v>
      </c>
      <c r="B99" s="211" t="s">
        <v>2748</v>
      </c>
      <c r="C99" s="230">
        <v>7.75</v>
      </c>
    </row>
    <row r="100" spans="1:3" s="193" customFormat="1" ht="13.5" x14ac:dyDescent="0.25">
      <c r="A100" s="206" t="s">
        <v>976</v>
      </c>
      <c r="B100" s="211" t="s">
        <v>2749</v>
      </c>
      <c r="C100" s="230">
        <v>7.75</v>
      </c>
    </row>
    <row r="101" spans="1:3" s="193" customFormat="1" ht="13.5" x14ac:dyDescent="0.25">
      <c r="A101" s="206" t="s">
        <v>978</v>
      </c>
      <c r="B101" s="211" t="s">
        <v>2750</v>
      </c>
      <c r="C101" s="230">
        <v>7.75</v>
      </c>
    </row>
    <row r="102" spans="1:3" s="193" customFormat="1" ht="13.5" x14ac:dyDescent="0.25">
      <c r="A102" s="206" t="s">
        <v>729</v>
      </c>
      <c r="B102" s="211" t="s">
        <v>2751</v>
      </c>
      <c r="C102" s="230">
        <v>7.75</v>
      </c>
    </row>
    <row r="103" spans="1:3" s="193" customFormat="1" ht="13.5" x14ac:dyDescent="0.25">
      <c r="A103" s="206" t="s">
        <v>1042</v>
      </c>
      <c r="B103" s="211" t="s">
        <v>2752</v>
      </c>
      <c r="C103" s="230">
        <v>7.75</v>
      </c>
    </row>
    <row r="104" spans="1:3" s="193" customFormat="1" ht="13.5" x14ac:dyDescent="0.25">
      <c r="A104" s="206" t="s">
        <v>1676</v>
      </c>
      <c r="B104" s="211" t="s">
        <v>2753</v>
      </c>
      <c r="C104" s="230">
        <v>7.75</v>
      </c>
    </row>
    <row r="105" spans="1:3" s="193" customFormat="1" ht="13.5" x14ac:dyDescent="0.25">
      <c r="A105" s="206" t="s">
        <v>905</v>
      </c>
      <c r="B105" s="211" t="s">
        <v>2754</v>
      </c>
      <c r="C105" s="230">
        <v>7.75</v>
      </c>
    </row>
    <row r="106" spans="1:3" s="193" customFormat="1" ht="13.5" x14ac:dyDescent="0.25">
      <c r="A106" s="206" t="s">
        <v>1769</v>
      </c>
      <c r="B106" s="211" t="s">
        <v>2755</v>
      </c>
      <c r="C106" s="230">
        <v>7.75</v>
      </c>
    </row>
    <row r="107" spans="1:3" s="193" customFormat="1" ht="13.5" x14ac:dyDescent="0.25">
      <c r="A107" s="206" t="s">
        <v>921</v>
      </c>
      <c r="B107" s="211" t="s">
        <v>2756</v>
      </c>
      <c r="C107" s="230">
        <v>7.75</v>
      </c>
    </row>
    <row r="108" spans="1:3" s="193" customFormat="1" ht="13.5" x14ac:dyDescent="0.25">
      <c r="A108" s="206" t="s">
        <v>919</v>
      </c>
      <c r="B108" s="211" t="s">
        <v>2757</v>
      </c>
      <c r="C108" s="230">
        <v>7.75</v>
      </c>
    </row>
    <row r="109" spans="1:3" s="193" customFormat="1" ht="13.5" x14ac:dyDescent="0.25">
      <c r="A109" s="206" t="s">
        <v>986</v>
      </c>
      <c r="B109" s="211" t="s">
        <v>2758</v>
      </c>
      <c r="C109" s="230">
        <v>7.75</v>
      </c>
    </row>
    <row r="110" spans="1:3" s="193" customFormat="1" ht="13.5" x14ac:dyDescent="0.25">
      <c r="A110" s="206" t="s">
        <v>984</v>
      </c>
      <c r="B110" s="211" t="s">
        <v>2759</v>
      </c>
      <c r="C110" s="230">
        <v>7.75</v>
      </c>
    </row>
    <row r="111" spans="1:3" s="193" customFormat="1" ht="13.5" x14ac:dyDescent="0.25">
      <c r="A111" s="208" t="s">
        <v>1797</v>
      </c>
      <c r="B111" s="212" t="s">
        <v>2760</v>
      </c>
      <c r="C111" s="231">
        <v>7.75</v>
      </c>
    </row>
    <row r="112" spans="1:3" s="193" customFormat="1" ht="13.5" x14ac:dyDescent="0.25"/>
    <row r="113" s="193" customFormat="1" ht="13.5" x14ac:dyDescent="0.25"/>
    <row r="114" s="193" customFormat="1" ht="13.5" x14ac:dyDescent="0.25"/>
    <row r="115" s="193" customFormat="1" ht="13.5" x14ac:dyDescent="0.25"/>
    <row r="116" s="193" customFormat="1" ht="13.5" x14ac:dyDescent="0.25"/>
    <row r="117" s="193" customFormat="1" ht="13.5" x14ac:dyDescent="0.25"/>
    <row r="118" s="193" customFormat="1" ht="13.5" x14ac:dyDescent="0.25"/>
    <row r="119" s="193" customFormat="1" ht="13.5" x14ac:dyDescent="0.25"/>
    <row r="120" s="193" customFormat="1" ht="13.5" x14ac:dyDescent="0.25"/>
    <row r="121" s="193" customFormat="1" ht="13.5" x14ac:dyDescent="0.25"/>
    <row r="122" s="193" customFormat="1" ht="13.5" x14ac:dyDescent="0.25"/>
    <row r="123" s="193" customFormat="1" ht="13.5" x14ac:dyDescent="0.25"/>
    <row r="124" s="193" customFormat="1" ht="13.5" x14ac:dyDescent="0.25"/>
    <row r="125" s="193" customFormat="1" ht="13.5" x14ac:dyDescent="0.25"/>
    <row r="126" s="193" customFormat="1" ht="13.5" x14ac:dyDescent="0.25"/>
    <row r="127" s="193" customFormat="1" ht="13.5" x14ac:dyDescent="0.25"/>
    <row r="128" s="193" customFormat="1" ht="13.5" x14ac:dyDescent="0.25"/>
    <row r="129" s="193" customFormat="1" ht="13.5" x14ac:dyDescent="0.25"/>
    <row r="130" s="193" customFormat="1" ht="13.5" x14ac:dyDescent="0.25"/>
    <row r="131" s="193" customFormat="1" ht="13.5" x14ac:dyDescent="0.25"/>
    <row r="132" s="193" customFormat="1" ht="13.5" x14ac:dyDescent="0.25"/>
    <row r="133" s="193" customFormat="1" ht="13.5" x14ac:dyDescent="0.25"/>
    <row r="134" s="193" customFormat="1" ht="13.5" x14ac:dyDescent="0.25"/>
    <row r="135" s="193" customFormat="1" ht="13.5" x14ac:dyDescent="0.25"/>
    <row r="136" s="193" customFormat="1" ht="13.5" x14ac:dyDescent="0.25"/>
    <row r="137" s="193" customFormat="1" ht="13.5" x14ac:dyDescent="0.25"/>
    <row r="138" s="193" customFormat="1" ht="13.5" x14ac:dyDescent="0.25"/>
    <row r="139" s="193" customFormat="1" ht="13.5" x14ac:dyDescent="0.25"/>
    <row r="140" s="193" customFormat="1" ht="13.5" x14ac:dyDescent="0.25"/>
    <row r="141" s="193" customFormat="1" ht="13.5" x14ac:dyDescent="0.25"/>
    <row r="142" s="193" customFormat="1" ht="13.5" x14ac:dyDescent="0.25"/>
    <row r="143" s="193" customFormat="1" ht="13.5" x14ac:dyDescent="0.25"/>
    <row r="144" s="193" customFormat="1" ht="13.5" x14ac:dyDescent="0.25"/>
    <row r="145" s="193" customFormat="1" ht="13.5" x14ac:dyDescent="0.25"/>
    <row r="146" s="193" customFormat="1" ht="13.5" x14ac:dyDescent="0.25"/>
    <row r="147" s="193" customFormat="1" ht="13.5" x14ac:dyDescent="0.25"/>
    <row r="148" s="193" customFormat="1" ht="13.5" x14ac:dyDescent="0.25"/>
    <row r="149" s="193" customFormat="1" ht="13.5" x14ac:dyDescent="0.25"/>
    <row r="150" s="193" customFormat="1" ht="13.5" x14ac:dyDescent="0.25"/>
    <row r="151" s="193" customFormat="1" ht="13.5" x14ac:dyDescent="0.25"/>
    <row r="152" s="193" customFormat="1" ht="13.5" x14ac:dyDescent="0.25"/>
    <row r="153" s="193" customFormat="1" ht="13.5" x14ac:dyDescent="0.25"/>
    <row r="154" s="193" customFormat="1" ht="13.5" x14ac:dyDescent="0.25"/>
    <row r="155" s="193" customFormat="1" ht="13.5" x14ac:dyDescent="0.25"/>
    <row r="156" s="193" customFormat="1" ht="13.5" x14ac:dyDescent="0.25"/>
    <row r="157" s="193" customFormat="1" ht="13.5" x14ac:dyDescent="0.25"/>
    <row r="158" s="193" customFormat="1" ht="13.5" x14ac:dyDescent="0.25"/>
    <row r="159" s="193" customFormat="1" ht="13.5" x14ac:dyDescent="0.25"/>
    <row r="160" s="193" customFormat="1" ht="13.5" x14ac:dyDescent="0.25"/>
    <row r="161" s="193" customFormat="1" ht="13.5" x14ac:dyDescent="0.25"/>
    <row r="162" s="193" customFormat="1" ht="13.5" x14ac:dyDescent="0.25"/>
    <row r="163" s="193" customFormat="1" ht="13.5" x14ac:dyDescent="0.25"/>
    <row r="164" s="193" customFormat="1" ht="13.5" x14ac:dyDescent="0.25"/>
    <row r="165" s="193" customFormat="1" ht="13.5" x14ac:dyDescent="0.25"/>
    <row r="166" s="193" customFormat="1" ht="13.5" x14ac:dyDescent="0.25"/>
    <row r="167" s="193" customFormat="1" ht="13.5" x14ac:dyDescent="0.25"/>
    <row r="168" s="193" customFormat="1" ht="13.5" x14ac:dyDescent="0.25"/>
    <row r="169" s="193" customFormat="1" ht="13.5" x14ac:dyDescent="0.25"/>
    <row r="170" s="193" customFormat="1" ht="13.5" x14ac:dyDescent="0.25"/>
    <row r="171" s="193" customFormat="1" ht="13.5" x14ac:dyDescent="0.25"/>
    <row r="172" s="193" customFormat="1" ht="13.5" x14ac:dyDescent="0.25"/>
    <row r="173" s="193" customFormat="1" ht="13.5" x14ac:dyDescent="0.25"/>
    <row r="174" s="193" customFormat="1" ht="13.5" x14ac:dyDescent="0.25"/>
    <row r="175" s="193" customFormat="1" ht="13.5" x14ac:dyDescent="0.25"/>
    <row r="176" s="193" customFormat="1" ht="13.5" x14ac:dyDescent="0.25"/>
    <row r="177" s="193" customFormat="1" ht="13.5" x14ac:dyDescent="0.25"/>
    <row r="178" s="193" customFormat="1" ht="13.5" x14ac:dyDescent="0.25"/>
    <row r="179" s="193" customFormat="1" ht="13.5" x14ac:dyDescent="0.25"/>
    <row r="180" s="193" customFormat="1" ht="13.5" x14ac:dyDescent="0.25"/>
    <row r="181" s="193" customFormat="1" ht="13.5" x14ac:dyDescent="0.25"/>
    <row r="182" s="193" customFormat="1" ht="13.5" x14ac:dyDescent="0.25"/>
    <row r="183" s="193" customFormat="1" ht="13.5" x14ac:dyDescent="0.25"/>
    <row r="184" s="193" customFormat="1" ht="13.5" x14ac:dyDescent="0.25"/>
    <row r="185" s="193" customFormat="1" ht="13.5" x14ac:dyDescent="0.25"/>
    <row r="186" s="193" customFormat="1" ht="13.5" x14ac:dyDescent="0.25"/>
    <row r="187" s="193" customFormat="1" ht="13.5" x14ac:dyDescent="0.25"/>
    <row r="188" s="193" customFormat="1" ht="13.5" x14ac:dyDescent="0.25"/>
    <row r="189" s="193" customFormat="1" ht="13.5" x14ac:dyDescent="0.25"/>
    <row r="190" s="193" customFormat="1" ht="13.5" x14ac:dyDescent="0.25"/>
    <row r="191" s="193" customFormat="1" ht="13.5" x14ac:dyDescent="0.25"/>
    <row r="192" s="193" customFormat="1" ht="13.5" x14ac:dyDescent="0.25"/>
    <row r="193" s="193" customFormat="1" ht="13.5" x14ac:dyDescent="0.25"/>
    <row r="194" s="193" customFormat="1" ht="13.5" x14ac:dyDescent="0.25"/>
    <row r="195" s="193" customFormat="1" ht="13.5" x14ac:dyDescent="0.25"/>
    <row r="196" s="193" customFormat="1" ht="13.5" x14ac:dyDescent="0.25"/>
    <row r="197" s="193" customFormat="1" ht="13.5" x14ac:dyDescent="0.25"/>
    <row r="198" s="193" customFormat="1" ht="13.5" x14ac:dyDescent="0.25"/>
    <row r="199" s="193" customFormat="1" ht="13.5" x14ac:dyDescent="0.25"/>
    <row r="200" s="193" customFormat="1" ht="13.5" x14ac:dyDescent="0.25"/>
    <row r="201" s="193" customFormat="1" ht="13.5" x14ac:dyDescent="0.25"/>
    <row r="202" s="193" customFormat="1" ht="13.5" x14ac:dyDescent="0.25"/>
    <row r="203" s="193" customFormat="1" ht="13.5" x14ac:dyDescent="0.25"/>
    <row r="204" s="193" customFormat="1" ht="13.5" x14ac:dyDescent="0.25"/>
    <row r="205" s="193" customFormat="1" ht="13.5" x14ac:dyDescent="0.25"/>
    <row r="206" s="193" customFormat="1" ht="13.5" x14ac:dyDescent="0.25"/>
    <row r="207" s="193" customFormat="1" ht="13.5" x14ac:dyDescent="0.25"/>
    <row r="208" s="193" customFormat="1" ht="13.5" x14ac:dyDescent="0.25"/>
    <row r="209" s="193" customFormat="1" ht="13.5" x14ac:dyDescent="0.25"/>
    <row r="210" s="193" customFormat="1" ht="13.5" x14ac:dyDescent="0.25"/>
    <row r="211" s="193" customFormat="1" ht="13.5" x14ac:dyDescent="0.25"/>
    <row r="212" s="193" customFormat="1" ht="13.5" x14ac:dyDescent="0.25"/>
    <row r="213" s="193" customFormat="1" ht="13.5" x14ac:dyDescent="0.25"/>
    <row r="214" s="193" customFormat="1" ht="13.5" x14ac:dyDescent="0.25"/>
    <row r="215" s="193" customFormat="1" ht="13.5" x14ac:dyDescent="0.25"/>
    <row r="216" s="193" customFormat="1" ht="13.5" x14ac:dyDescent="0.25"/>
    <row r="217" s="193" customFormat="1" ht="13.5" x14ac:dyDescent="0.25"/>
    <row r="218" s="193" customFormat="1" ht="13.5" x14ac:dyDescent="0.25"/>
    <row r="219" s="193" customFormat="1" ht="13.5" x14ac:dyDescent="0.25"/>
    <row r="220" s="193" customFormat="1" ht="13.5" x14ac:dyDescent="0.25"/>
    <row r="221" s="193" customFormat="1" ht="13.5" x14ac:dyDescent="0.25"/>
    <row r="222" s="193" customFormat="1" ht="13.5" x14ac:dyDescent="0.25"/>
    <row r="223" s="193" customFormat="1" ht="13.5" x14ac:dyDescent="0.25"/>
    <row r="224" s="193" customFormat="1" ht="13.5" x14ac:dyDescent="0.25"/>
    <row r="225" s="193" customFormat="1" ht="13.5" x14ac:dyDescent="0.25"/>
    <row r="226" s="193" customFormat="1" ht="13.5" x14ac:dyDescent="0.25"/>
    <row r="227" s="193" customFormat="1" ht="13.5" x14ac:dyDescent="0.25"/>
    <row r="228" s="193" customFormat="1" ht="13.5" x14ac:dyDescent="0.25"/>
    <row r="229" s="193" customFormat="1" ht="13.5" x14ac:dyDescent="0.25"/>
    <row r="230" s="193" customFormat="1" ht="13.5" x14ac:dyDescent="0.25"/>
    <row r="231" s="193" customFormat="1" ht="13.5" x14ac:dyDescent="0.25"/>
    <row r="232" s="193" customFormat="1" ht="13.5" x14ac:dyDescent="0.25"/>
    <row r="233" s="193" customFormat="1" ht="13.5" x14ac:dyDescent="0.25"/>
    <row r="234" s="193" customFormat="1" ht="13.5" x14ac:dyDescent="0.25"/>
    <row r="235" s="193" customFormat="1" ht="13.5" x14ac:dyDescent="0.25"/>
    <row r="236" s="193" customFormat="1" ht="13.5" x14ac:dyDescent="0.25"/>
    <row r="237" s="193" customFormat="1" ht="13.5" x14ac:dyDescent="0.25"/>
    <row r="238" s="193" customFormat="1" ht="13.5" x14ac:dyDescent="0.25"/>
    <row r="239" s="193" customFormat="1" ht="13.5" x14ac:dyDescent="0.25"/>
    <row r="240" s="193" customFormat="1" ht="13.5" x14ac:dyDescent="0.25"/>
    <row r="241" s="193" customFormat="1" ht="13.5" x14ac:dyDescent="0.25"/>
    <row r="242" s="193" customFormat="1" ht="13.5" x14ac:dyDescent="0.25"/>
    <row r="243" s="193" customFormat="1" ht="13.5" x14ac:dyDescent="0.25"/>
    <row r="244" s="193" customFormat="1" ht="13.5" x14ac:dyDescent="0.25"/>
    <row r="245" s="193" customFormat="1" ht="13.5" x14ac:dyDescent="0.25"/>
    <row r="246" s="193" customFormat="1" ht="13.5" x14ac:dyDescent="0.25"/>
    <row r="247" s="193" customFormat="1" ht="13.5" x14ac:dyDescent="0.25"/>
    <row r="248" s="193" customFormat="1" ht="13.5" x14ac:dyDescent="0.25"/>
    <row r="249" s="193" customFormat="1" ht="13.5" x14ac:dyDescent="0.25"/>
    <row r="250" s="193" customFormat="1" ht="13.5" x14ac:dyDescent="0.25"/>
    <row r="251" s="193" customFormat="1" ht="13.5" x14ac:dyDescent="0.25"/>
    <row r="252" s="193" customFormat="1" ht="13.5" x14ac:dyDescent="0.25"/>
    <row r="253" s="193" customFormat="1" ht="13.5" x14ac:dyDescent="0.25"/>
    <row r="254" s="193" customFormat="1" ht="13.5" x14ac:dyDescent="0.25"/>
    <row r="255" s="193" customFormat="1" ht="13.5" x14ac:dyDescent="0.25"/>
    <row r="256" s="193" customFormat="1" ht="13.5" x14ac:dyDescent="0.25"/>
    <row r="257" s="193" customFormat="1" ht="13.5" x14ac:dyDescent="0.25"/>
    <row r="258" s="193" customFormat="1" ht="13.5" x14ac:dyDescent="0.25"/>
    <row r="259" s="193" customFormat="1" ht="13.5" x14ac:dyDescent="0.25"/>
    <row r="260" s="193" customFormat="1" ht="13.5" x14ac:dyDescent="0.25"/>
    <row r="261" s="193" customFormat="1" ht="13.5" x14ac:dyDescent="0.25"/>
    <row r="262" s="193" customFormat="1" ht="13.5" x14ac:dyDescent="0.25"/>
    <row r="263" s="193" customFormat="1" ht="13.5" x14ac:dyDescent="0.25"/>
    <row r="264" s="193" customFormat="1" ht="13.5" x14ac:dyDescent="0.25"/>
    <row r="265" s="193" customFormat="1" ht="13.5" x14ac:dyDescent="0.25"/>
    <row r="266" s="193" customFormat="1" ht="13.5" x14ac:dyDescent="0.25"/>
    <row r="267" s="193" customFormat="1" ht="13.5" x14ac:dyDescent="0.25"/>
    <row r="268" s="193" customFormat="1" ht="13.5" x14ac:dyDescent="0.25"/>
    <row r="269" s="193" customFormat="1" ht="13.5" x14ac:dyDescent="0.25"/>
    <row r="270" s="193" customFormat="1" ht="13.5" x14ac:dyDescent="0.25"/>
    <row r="271" s="193" customFormat="1" ht="13.5" x14ac:dyDescent="0.25"/>
    <row r="272" s="193" customFormat="1" ht="13.5" x14ac:dyDescent="0.25"/>
    <row r="273" s="193" customFormat="1" ht="13.5" x14ac:dyDescent="0.25"/>
    <row r="274" s="193" customFormat="1" ht="13.5" x14ac:dyDescent="0.25"/>
    <row r="275" s="193" customFormat="1" ht="13.5" x14ac:dyDescent="0.25"/>
    <row r="276" s="193" customFormat="1" ht="13.5" x14ac:dyDescent="0.25"/>
    <row r="277" s="193" customFormat="1" ht="13.5" x14ac:dyDescent="0.25"/>
    <row r="278" s="193" customFormat="1" ht="13.5" x14ac:dyDescent="0.25"/>
    <row r="279" s="193" customFormat="1" ht="13.5" x14ac:dyDescent="0.25"/>
    <row r="280" s="193" customFormat="1" ht="13.5" x14ac:dyDescent="0.25"/>
    <row r="281" s="193" customFormat="1" ht="13.5" x14ac:dyDescent="0.25"/>
    <row r="282" s="193" customFormat="1" ht="13.5" x14ac:dyDescent="0.25"/>
    <row r="283" s="193" customFormat="1" ht="13.5" x14ac:dyDescent="0.25"/>
    <row r="284" s="193" customFormat="1" ht="13.5" x14ac:dyDescent="0.25"/>
    <row r="285" s="193" customFormat="1" ht="13.5" x14ac:dyDescent="0.25"/>
    <row r="286" s="193" customFormat="1" ht="13.5" x14ac:dyDescent="0.25"/>
    <row r="287" s="193" customFormat="1" ht="13.5" x14ac:dyDescent="0.25"/>
    <row r="288" s="193" customFormat="1" ht="13.5" x14ac:dyDescent="0.25"/>
    <row r="289" s="193" customFormat="1" ht="13.5" x14ac:dyDescent="0.25"/>
    <row r="290" s="193" customFormat="1" ht="13.5" x14ac:dyDescent="0.25"/>
    <row r="291" s="193" customFormat="1" ht="13.5" x14ac:dyDescent="0.25"/>
    <row r="292" s="193" customFormat="1" ht="13.5" x14ac:dyDescent="0.25"/>
    <row r="293" s="193" customFormat="1" ht="13.5" x14ac:dyDescent="0.25"/>
    <row r="294" s="193" customFormat="1" ht="13.5" x14ac:dyDescent="0.25"/>
    <row r="295" s="193" customFormat="1" ht="13.5" x14ac:dyDescent="0.25"/>
    <row r="296" s="193" customFormat="1" ht="13.5" x14ac:dyDescent="0.25"/>
    <row r="297" s="193" customFormat="1" ht="13.5" x14ac:dyDescent="0.25"/>
    <row r="298" s="193" customFormat="1" ht="13.5" x14ac:dyDescent="0.25"/>
    <row r="299" s="193" customFormat="1" ht="13.5" x14ac:dyDescent="0.25"/>
    <row r="300" s="193" customFormat="1" ht="13.5" x14ac:dyDescent="0.25"/>
    <row r="301" s="193" customFormat="1" ht="13.5" x14ac:dyDescent="0.25"/>
    <row r="302" s="193" customFormat="1" ht="13.5" x14ac:dyDescent="0.25"/>
    <row r="303" s="193" customFormat="1" ht="13.5" x14ac:dyDescent="0.25"/>
    <row r="304" s="193" customFormat="1" ht="13.5" x14ac:dyDescent="0.25"/>
    <row r="305" s="193" customFormat="1" ht="13.5" x14ac:dyDescent="0.25"/>
    <row r="306" s="193" customFormat="1" ht="13.5" x14ac:dyDescent="0.25"/>
    <row r="307" s="193" customFormat="1" ht="13.5" x14ac:dyDescent="0.25"/>
    <row r="308" s="193" customFormat="1" ht="13.5" x14ac:dyDescent="0.25"/>
    <row r="309" s="193" customFormat="1" ht="13.5" x14ac:dyDescent="0.25"/>
    <row r="310" s="193" customFormat="1" ht="13.5" x14ac:dyDescent="0.25"/>
    <row r="311" s="193" customFormat="1" ht="13.5" x14ac:dyDescent="0.25"/>
    <row r="312" s="193" customFormat="1" ht="13.5" x14ac:dyDescent="0.25"/>
    <row r="313" s="193" customFormat="1" ht="13.5" x14ac:dyDescent="0.25"/>
    <row r="314" s="193" customFormat="1" ht="13.5" x14ac:dyDescent="0.25"/>
    <row r="315" s="193" customFormat="1" ht="13.5" x14ac:dyDescent="0.25"/>
    <row r="316" s="193" customFormat="1" ht="13.5" x14ac:dyDescent="0.25"/>
    <row r="317" s="193" customFormat="1" ht="13.5" x14ac:dyDescent="0.25"/>
    <row r="318" s="193" customFormat="1" ht="13.5" x14ac:dyDescent="0.25"/>
    <row r="319" s="193" customFormat="1" ht="13.5" x14ac:dyDescent="0.25"/>
  </sheetData>
  <mergeCells count="1">
    <mergeCell ref="A1:C1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BBA86-9F0F-4173-999E-43F7CCA2FED2}">
  <dimension ref="A1:D319"/>
  <sheetViews>
    <sheetView showGridLines="0" showRowColHeaders="0" workbookViewId="0">
      <selection activeCell="C20" sqref="C20"/>
    </sheetView>
  </sheetViews>
  <sheetFormatPr defaultColWidth="8.7109375" defaultRowHeight="12.75" x14ac:dyDescent="0.2"/>
  <cols>
    <col min="1" max="1" width="6.42578125" style="191" customWidth="1"/>
    <col min="2" max="2" width="55.5703125" style="191" customWidth="1"/>
    <col min="3" max="3" width="6.42578125" style="191" customWidth="1"/>
    <col min="4" max="4" width="7.28515625" style="191" customWidth="1"/>
    <col min="5" max="16384" width="8.7109375" style="191"/>
  </cols>
  <sheetData>
    <row r="1" spans="1:4" ht="38.1" customHeight="1" x14ac:dyDescent="0.2">
      <c r="A1" s="489" t="s">
        <v>2761</v>
      </c>
      <c r="B1" s="489"/>
      <c r="C1" s="489"/>
      <c r="D1" s="240"/>
    </row>
    <row r="2" spans="1:4" s="193" customFormat="1" ht="13.5" x14ac:dyDescent="0.25"/>
    <row r="3" spans="1:4" s="193" customFormat="1" ht="13.5" x14ac:dyDescent="0.25">
      <c r="A3" s="246" t="s">
        <v>0</v>
      </c>
      <c r="B3" s="246" t="s">
        <v>2652</v>
      </c>
      <c r="C3" s="246" t="s">
        <v>1449</v>
      </c>
    </row>
    <row r="4" spans="1:4" s="193" customFormat="1" ht="13.5" x14ac:dyDescent="0.25">
      <c r="A4" s="242" t="s">
        <v>895</v>
      </c>
      <c r="B4" s="207" t="s">
        <v>2762</v>
      </c>
      <c r="C4" s="243">
        <v>4</v>
      </c>
    </row>
    <row r="5" spans="1:4" s="193" customFormat="1" ht="13.5" x14ac:dyDescent="0.25">
      <c r="A5" s="242" t="s">
        <v>1595</v>
      </c>
      <c r="B5" s="207" t="s">
        <v>2763</v>
      </c>
      <c r="C5" s="243">
        <v>1.89</v>
      </c>
    </row>
    <row r="6" spans="1:4" s="193" customFormat="1" ht="13.5" x14ac:dyDescent="0.25">
      <c r="A6" s="242" t="s">
        <v>1596</v>
      </c>
      <c r="B6" s="207" t="s">
        <v>2764</v>
      </c>
      <c r="C6" s="243">
        <v>2.83</v>
      </c>
    </row>
    <row r="7" spans="1:4" s="193" customFormat="1" ht="13.5" x14ac:dyDescent="0.25">
      <c r="A7" s="244" t="s">
        <v>1688</v>
      </c>
      <c r="B7" s="209" t="s">
        <v>2765</v>
      </c>
      <c r="C7" s="245">
        <v>5.66</v>
      </c>
    </row>
    <row r="8" spans="1:4" s="193" customFormat="1" ht="13.5" x14ac:dyDescent="0.25"/>
    <row r="9" spans="1:4" s="193" customFormat="1" ht="13.5" x14ac:dyDescent="0.25"/>
    <row r="10" spans="1:4" s="193" customFormat="1" ht="13.5" x14ac:dyDescent="0.25"/>
    <row r="11" spans="1:4" s="193" customFormat="1" ht="13.5" x14ac:dyDescent="0.25"/>
    <row r="12" spans="1:4" s="193" customFormat="1" ht="13.5" x14ac:dyDescent="0.25"/>
    <row r="13" spans="1:4" s="193" customFormat="1" ht="13.5" x14ac:dyDescent="0.25"/>
    <row r="14" spans="1:4" s="193" customFormat="1" ht="13.5" x14ac:dyDescent="0.25"/>
    <row r="15" spans="1:4" s="193" customFormat="1" ht="13.5" x14ac:dyDescent="0.25"/>
    <row r="16" spans="1:4" s="193" customFormat="1" ht="13.5" x14ac:dyDescent="0.25"/>
    <row r="17" s="193" customFormat="1" ht="13.5" x14ac:dyDescent="0.25"/>
    <row r="18" s="193" customFormat="1" ht="13.5" x14ac:dyDescent="0.25"/>
    <row r="19" s="193" customFormat="1" ht="13.5" x14ac:dyDescent="0.25"/>
    <row r="20" s="193" customFormat="1" ht="13.5" x14ac:dyDescent="0.25"/>
    <row r="21" s="193" customFormat="1" ht="13.5" x14ac:dyDescent="0.25"/>
    <row r="22" s="193" customFormat="1" ht="13.5" x14ac:dyDescent="0.25"/>
    <row r="23" s="193" customFormat="1" ht="13.5" x14ac:dyDescent="0.25"/>
    <row r="24" s="193" customFormat="1" ht="13.5" x14ac:dyDescent="0.25"/>
    <row r="25" s="193" customFormat="1" ht="13.5" x14ac:dyDescent="0.25"/>
    <row r="26" s="193" customFormat="1" ht="13.5" x14ac:dyDescent="0.25"/>
    <row r="27" s="193" customFormat="1" ht="13.5" x14ac:dyDescent="0.25"/>
    <row r="28" s="193" customFormat="1" ht="13.5" x14ac:dyDescent="0.25"/>
    <row r="29" s="193" customFormat="1" ht="13.5" x14ac:dyDescent="0.25"/>
    <row r="30" s="193" customFormat="1" ht="13.5" x14ac:dyDescent="0.25"/>
    <row r="31" s="193" customFormat="1" ht="13.5" x14ac:dyDescent="0.25"/>
    <row r="32" s="193" customFormat="1" ht="13.5" x14ac:dyDescent="0.25"/>
    <row r="33" s="193" customFormat="1" ht="13.5" x14ac:dyDescent="0.25"/>
    <row r="34" s="193" customFormat="1" ht="13.5" x14ac:dyDescent="0.25"/>
    <row r="35" s="193" customFormat="1" ht="13.5" x14ac:dyDescent="0.25"/>
    <row r="36" s="193" customFormat="1" ht="13.5" x14ac:dyDescent="0.25"/>
    <row r="37" s="193" customFormat="1" ht="13.5" x14ac:dyDescent="0.25"/>
    <row r="38" s="193" customFormat="1" ht="13.5" x14ac:dyDescent="0.25"/>
    <row r="39" s="193" customFormat="1" ht="13.5" x14ac:dyDescent="0.25"/>
    <row r="40" s="193" customFormat="1" ht="13.5" x14ac:dyDescent="0.25"/>
    <row r="41" s="193" customFormat="1" ht="13.5" x14ac:dyDescent="0.25"/>
    <row r="42" s="193" customFormat="1" ht="13.5" x14ac:dyDescent="0.25"/>
    <row r="43" s="193" customFormat="1" ht="13.5" x14ac:dyDescent="0.25"/>
    <row r="44" s="193" customFormat="1" ht="13.5" x14ac:dyDescent="0.25"/>
    <row r="45" s="193" customFormat="1" ht="13.5" x14ac:dyDescent="0.25"/>
    <row r="46" s="193" customFormat="1" ht="13.5" x14ac:dyDescent="0.25"/>
    <row r="47" s="193" customFormat="1" ht="13.5" x14ac:dyDescent="0.25"/>
    <row r="48" s="193" customFormat="1" ht="13.5" x14ac:dyDescent="0.25"/>
    <row r="49" s="193" customFormat="1" ht="13.5" x14ac:dyDescent="0.25"/>
    <row r="50" s="193" customFormat="1" ht="13.5" x14ac:dyDescent="0.25"/>
    <row r="51" s="193" customFormat="1" ht="13.5" x14ac:dyDescent="0.25"/>
    <row r="52" s="193" customFormat="1" ht="13.5" x14ac:dyDescent="0.25"/>
    <row r="53" s="193" customFormat="1" ht="13.5" x14ac:dyDescent="0.25"/>
    <row r="54" s="193" customFormat="1" ht="13.5" x14ac:dyDescent="0.25"/>
    <row r="55" s="193" customFormat="1" ht="13.5" x14ac:dyDescent="0.25"/>
    <row r="56" s="193" customFormat="1" ht="13.5" x14ac:dyDescent="0.25"/>
    <row r="57" s="193" customFormat="1" ht="13.5" x14ac:dyDescent="0.25"/>
    <row r="58" s="193" customFormat="1" ht="13.5" x14ac:dyDescent="0.25"/>
    <row r="59" s="193" customFormat="1" ht="13.5" x14ac:dyDescent="0.25"/>
    <row r="60" s="193" customFormat="1" ht="13.5" x14ac:dyDescent="0.25"/>
    <row r="61" s="193" customFormat="1" ht="13.5" x14ac:dyDescent="0.25"/>
    <row r="62" s="193" customFormat="1" ht="13.5" x14ac:dyDescent="0.25"/>
    <row r="63" s="193" customFormat="1" ht="13.5" x14ac:dyDescent="0.25"/>
    <row r="64" s="193" customFormat="1" ht="13.5" x14ac:dyDescent="0.25"/>
    <row r="65" s="193" customFormat="1" ht="13.5" x14ac:dyDescent="0.25"/>
    <row r="66" s="193" customFormat="1" ht="13.5" x14ac:dyDescent="0.25"/>
    <row r="67" s="193" customFormat="1" ht="13.5" x14ac:dyDescent="0.25"/>
    <row r="68" s="193" customFormat="1" ht="13.5" x14ac:dyDescent="0.25"/>
    <row r="69" s="193" customFormat="1" ht="13.5" x14ac:dyDescent="0.25"/>
    <row r="70" s="193" customFormat="1" ht="13.5" x14ac:dyDescent="0.25"/>
    <row r="71" s="193" customFormat="1" ht="13.5" x14ac:dyDescent="0.25"/>
    <row r="72" s="193" customFormat="1" ht="13.5" x14ac:dyDescent="0.25"/>
    <row r="73" s="193" customFormat="1" ht="13.5" x14ac:dyDescent="0.25"/>
    <row r="74" s="193" customFormat="1" ht="13.5" x14ac:dyDescent="0.25"/>
    <row r="75" s="193" customFormat="1" ht="13.5" x14ac:dyDescent="0.25"/>
    <row r="76" s="193" customFormat="1" ht="13.5" x14ac:dyDescent="0.25"/>
    <row r="77" s="193" customFormat="1" ht="13.5" x14ac:dyDescent="0.25"/>
    <row r="78" s="193" customFormat="1" ht="13.5" x14ac:dyDescent="0.25"/>
    <row r="79" s="193" customFormat="1" ht="13.5" x14ac:dyDescent="0.25"/>
    <row r="80" s="193" customFormat="1" ht="13.5" x14ac:dyDescent="0.25"/>
    <row r="81" s="193" customFormat="1" ht="13.5" x14ac:dyDescent="0.25"/>
    <row r="82" s="193" customFormat="1" ht="13.5" x14ac:dyDescent="0.25"/>
    <row r="83" s="193" customFormat="1" ht="13.5" x14ac:dyDescent="0.25"/>
    <row r="84" s="193" customFormat="1" ht="13.5" x14ac:dyDescent="0.25"/>
    <row r="85" s="193" customFormat="1" ht="13.5" x14ac:dyDescent="0.25"/>
    <row r="86" s="193" customFormat="1" ht="13.5" x14ac:dyDescent="0.25"/>
    <row r="87" s="193" customFormat="1" ht="13.5" x14ac:dyDescent="0.25"/>
    <row r="88" s="193" customFormat="1" ht="13.5" x14ac:dyDescent="0.25"/>
    <row r="89" s="193" customFormat="1" ht="13.5" x14ac:dyDescent="0.25"/>
    <row r="90" s="193" customFormat="1" ht="13.5" x14ac:dyDescent="0.25"/>
    <row r="91" s="193" customFormat="1" ht="13.5" x14ac:dyDescent="0.25"/>
    <row r="92" s="193" customFormat="1" ht="13.5" x14ac:dyDescent="0.25"/>
    <row r="93" s="193" customFormat="1" ht="13.5" x14ac:dyDescent="0.25"/>
    <row r="94" s="193" customFormat="1" ht="13.5" x14ac:dyDescent="0.25"/>
    <row r="95" s="193" customFormat="1" ht="13.5" x14ac:dyDescent="0.25"/>
    <row r="96" s="193" customFormat="1" ht="13.5" x14ac:dyDescent="0.25"/>
    <row r="97" s="193" customFormat="1" ht="13.5" x14ac:dyDescent="0.25"/>
    <row r="98" s="193" customFormat="1" ht="13.5" x14ac:dyDescent="0.25"/>
    <row r="99" s="193" customFormat="1" ht="13.5" x14ac:dyDescent="0.25"/>
    <row r="100" s="193" customFormat="1" ht="13.5" x14ac:dyDescent="0.25"/>
    <row r="101" s="193" customFormat="1" ht="13.5" x14ac:dyDescent="0.25"/>
    <row r="102" s="193" customFormat="1" ht="13.5" x14ac:dyDescent="0.25"/>
    <row r="103" s="193" customFormat="1" ht="13.5" x14ac:dyDescent="0.25"/>
    <row r="104" s="193" customFormat="1" ht="13.5" x14ac:dyDescent="0.25"/>
    <row r="105" s="193" customFormat="1" ht="13.5" x14ac:dyDescent="0.25"/>
    <row r="106" s="193" customFormat="1" ht="13.5" x14ac:dyDescent="0.25"/>
    <row r="107" s="193" customFormat="1" ht="13.5" x14ac:dyDescent="0.25"/>
    <row r="108" s="193" customFormat="1" ht="13.5" x14ac:dyDescent="0.25"/>
    <row r="109" s="193" customFormat="1" ht="13.5" x14ac:dyDescent="0.25"/>
    <row r="110" s="193" customFormat="1" ht="13.5" x14ac:dyDescent="0.25"/>
    <row r="111" s="193" customFormat="1" ht="13.5" x14ac:dyDescent="0.25"/>
    <row r="112" s="193" customFormat="1" ht="13.5" x14ac:dyDescent="0.25"/>
    <row r="113" s="193" customFormat="1" ht="13.5" x14ac:dyDescent="0.25"/>
    <row r="114" s="193" customFormat="1" ht="13.5" x14ac:dyDescent="0.25"/>
    <row r="115" s="193" customFormat="1" ht="13.5" x14ac:dyDescent="0.25"/>
    <row r="116" s="193" customFormat="1" ht="13.5" x14ac:dyDescent="0.25"/>
    <row r="117" s="193" customFormat="1" ht="13.5" x14ac:dyDescent="0.25"/>
    <row r="118" s="193" customFormat="1" ht="13.5" x14ac:dyDescent="0.25"/>
    <row r="119" s="193" customFormat="1" ht="13.5" x14ac:dyDescent="0.25"/>
    <row r="120" s="193" customFormat="1" ht="13.5" x14ac:dyDescent="0.25"/>
    <row r="121" s="193" customFormat="1" ht="13.5" x14ac:dyDescent="0.25"/>
    <row r="122" s="193" customFormat="1" ht="13.5" x14ac:dyDescent="0.25"/>
    <row r="123" s="193" customFormat="1" ht="13.5" x14ac:dyDescent="0.25"/>
    <row r="124" s="193" customFormat="1" ht="13.5" x14ac:dyDescent="0.25"/>
    <row r="125" s="193" customFormat="1" ht="13.5" x14ac:dyDescent="0.25"/>
    <row r="126" s="193" customFormat="1" ht="13.5" x14ac:dyDescent="0.25"/>
    <row r="127" s="193" customFormat="1" ht="13.5" x14ac:dyDescent="0.25"/>
    <row r="128" s="193" customFormat="1" ht="13.5" x14ac:dyDescent="0.25"/>
    <row r="129" s="193" customFormat="1" ht="13.5" x14ac:dyDescent="0.25"/>
    <row r="130" s="193" customFormat="1" ht="13.5" x14ac:dyDescent="0.25"/>
    <row r="131" s="193" customFormat="1" ht="13.5" x14ac:dyDescent="0.25"/>
    <row r="132" s="193" customFormat="1" ht="13.5" x14ac:dyDescent="0.25"/>
    <row r="133" s="193" customFormat="1" ht="13.5" x14ac:dyDescent="0.25"/>
    <row r="134" s="193" customFormat="1" ht="13.5" x14ac:dyDescent="0.25"/>
    <row r="135" s="193" customFormat="1" ht="13.5" x14ac:dyDescent="0.25"/>
    <row r="136" s="193" customFormat="1" ht="13.5" x14ac:dyDescent="0.25"/>
    <row r="137" s="193" customFormat="1" ht="13.5" x14ac:dyDescent="0.25"/>
    <row r="138" s="193" customFormat="1" ht="13.5" x14ac:dyDescent="0.25"/>
    <row r="139" s="193" customFormat="1" ht="13.5" x14ac:dyDescent="0.25"/>
    <row r="140" s="193" customFormat="1" ht="13.5" x14ac:dyDescent="0.25"/>
    <row r="141" s="193" customFormat="1" ht="13.5" x14ac:dyDescent="0.25"/>
    <row r="142" s="193" customFormat="1" ht="13.5" x14ac:dyDescent="0.25"/>
    <row r="143" s="193" customFormat="1" ht="13.5" x14ac:dyDescent="0.25"/>
    <row r="144" s="193" customFormat="1" ht="13.5" x14ac:dyDescent="0.25"/>
    <row r="145" s="193" customFormat="1" ht="13.5" x14ac:dyDescent="0.25"/>
    <row r="146" s="193" customFormat="1" ht="13.5" x14ac:dyDescent="0.25"/>
    <row r="147" s="193" customFormat="1" ht="13.5" x14ac:dyDescent="0.25"/>
    <row r="148" s="193" customFormat="1" ht="13.5" x14ac:dyDescent="0.25"/>
    <row r="149" s="193" customFormat="1" ht="13.5" x14ac:dyDescent="0.25"/>
    <row r="150" s="193" customFormat="1" ht="13.5" x14ac:dyDescent="0.25"/>
    <row r="151" s="193" customFormat="1" ht="13.5" x14ac:dyDescent="0.25"/>
    <row r="152" s="193" customFormat="1" ht="13.5" x14ac:dyDescent="0.25"/>
    <row r="153" s="193" customFormat="1" ht="13.5" x14ac:dyDescent="0.25"/>
    <row r="154" s="193" customFormat="1" ht="13.5" x14ac:dyDescent="0.25"/>
    <row r="155" s="193" customFormat="1" ht="13.5" x14ac:dyDescent="0.25"/>
    <row r="156" s="193" customFormat="1" ht="13.5" x14ac:dyDescent="0.25"/>
    <row r="157" s="193" customFormat="1" ht="13.5" x14ac:dyDescent="0.25"/>
    <row r="158" s="193" customFormat="1" ht="13.5" x14ac:dyDescent="0.25"/>
    <row r="159" s="193" customFormat="1" ht="13.5" x14ac:dyDescent="0.25"/>
    <row r="160" s="193" customFormat="1" ht="13.5" x14ac:dyDescent="0.25"/>
    <row r="161" s="193" customFormat="1" ht="13.5" x14ac:dyDescent="0.25"/>
    <row r="162" s="193" customFormat="1" ht="13.5" x14ac:dyDescent="0.25"/>
    <row r="163" s="193" customFormat="1" ht="13.5" x14ac:dyDescent="0.25"/>
    <row r="164" s="193" customFormat="1" ht="13.5" x14ac:dyDescent="0.25"/>
    <row r="165" s="193" customFormat="1" ht="13.5" x14ac:dyDescent="0.25"/>
    <row r="166" s="193" customFormat="1" ht="13.5" x14ac:dyDescent="0.25"/>
    <row r="167" s="193" customFormat="1" ht="13.5" x14ac:dyDescent="0.25"/>
    <row r="168" s="193" customFormat="1" ht="13.5" x14ac:dyDescent="0.25"/>
    <row r="169" s="193" customFormat="1" ht="13.5" x14ac:dyDescent="0.25"/>
    <row r="170" s="193" customFormat="1" ht="13.5" x14ac:dyDescent="0.25"/>
    <row r="171" s="193" customFormat="1" ht="13.5" x14ac:dyDescent="0.25"/>
    <row r="172" s="193" customFormat="1" ht="13.5" x14ac:dyDescent="0.25"/>
    <row r="173" s="193" customFormat="1" ht="13.5" x14ac:dyDescent="0.25"/>
    <row r="174" s="193" customFormat="1" ht="13.5" x14ac:dyDescent="0.25"/>
    <row r="175" s="193" customFormat="1" ht="13.5" x14ac:dyDescent="0.25"/>
    <row r="176" s="193" customFormat="1" ht="13.5" x14ac:dyDescent="0.25"/>
    <row r="177" s="193" customFormat="1" ht="13.5" x14ac:dyDescent="0.25"/>
    <row r="178" s="193" customFormat="1" ht="13.5" x14ac:dyDescent="0.25"/>
    <row r="179" s="193" customFormat="1" ht="13.5" x14ac:dyDescent="0.25"/>
    <row r="180" s="193" customFormat="1" ht="13.5" x14ac:dyDescent="0.25"/>
    <row r="181" s="193" customFormat="1" ht="13.5" x14ac:dyDescent="0.25"/>
    <row r="182" s="193" customFormat="1" ht="13.5" x14ac:dyDescent="0.25"/>
    <row r="183" s="193" customFormat="1" ht="13.5" x14ac:dyDescent="0.25"/>
    <row r="184" s="193" customFormat="1" ht="13.5" x14ac:dyDescent="0.25"/>
    <row r="185" s="193" customFormat="1" ht="13.5" x14ac:dyDescent="0.25"/>
    <row r="186" s="193" customFormat="1" ht="13.5" x14ac:dyDescent="0.25"/>
    <row r="187" s="193" customFormat="1" ht="13.5" x14ac:dyDescent="0.25"/>
    <row r="188" s="193" customFormat="1" ht="13.5" x14ac:dyDescent="0.25"/>
    <row r="189" s="193" customFormat="1" ht="13.5" x14ac:dyDescent="0.25"/>
    <row r="190" s="193" customFormat="1" ht="13.5" x14ac:dyDescent="0.25"/>
    <row r="191" s="193" customFormat="1" ht="13.5" x14ac:dyDescent="0.25"/>
    <row r="192" s="193" customFormat="1" ht="13.5" x14ac:dyDescent="0.25"/>
    <row r="193" s="193" customFormat="1" ht="13.5" x14ac:dyDescent="0.25"/>
    <row r="194" s="193" customFormat="1" ht="13.5" x14ac:dyDescent="0.25"/>
    <row r="195" s="193" customFormat="1" ht="13.5" x14ac:dyDescent="0.25"/>
    <row r="196" s="193" customFormat="1" ht="13.5" x14ac:dyDescent="0.25"/>
    <row r="197" s="193" customFormat="1" ht="13.5" x14ac:dyDescent="0.25"/>
    <row r="198" s="193" customFormat="1" ht="13.5" x14ac:dyDescent="0.25"/>
    <row r="199" s="193" customFormat="1" ht="13.5" x14ac:dyDescent="0.25"/>
    <row r="200" s="193" customFormat="1" ht="13.5" x14ac:dyDescent="0.25"/>
    <row r="201" s="193" customFormat="1" ht="13.5" x14ac:dyDescent="0.25"/>
    <row r="202" s="193" customFormat="1" ht="13.5" x14ac:dyDescent="0.25"/>
    <row r="203" s="193" customFormat="1" ht="13.5" x14ac:dyDescent="0.25"/>
    <row r="204" s="193" customFormat="1" ht="13.5" x14ac:dyDescent="0.25"/>
    <row r="205" s="193" customFormat="1" ht="13.5" x14ac:dyDescent="0.25"/>
    <row r="206" s="193" customFormat="1" ht="13.5" x14ac:dyDescent="0.25"/>
    <row r="207" s="193" customFormat="1" ht="13.5" x14ac:dyDescent="0.25"/>
    <row r="208" s="193" customFormat="1" ht="13.5" x14ac:dyDescent="0.25"/>
    <row r="209" s="193" customFormat="1" ht="13.5" x14ac:dyDescent="0.25"/>
    <row r="210" s="193" customFormat="1" ht="13.5" x14ac:dyDescent="0.25"/>
    <row r="211" s="193" customFormat="1" ht="13.5" x14ac:dyDescent="0.25"/>
    <row r="212" s="193" customFormat="1" ht="13.5" x14ac:dyDescent="0.25"/>
    <row r="213" s="193" customFormat="1" ht="13.5" x14ac:dyDescent="0.25"/>
    <row r="214" s="193" customFormat="1" ht="13.5" x14ac:dyDescent="0.25"/>
    <row r="215" s="193" customFormat="1" ht="13.5" x14ac:dyDescent="0.25"/>
    <row r="216" s="193" customFormat="1" ht="13.5" x14ac:dyDescent="0.25"/>
    <row r="217" s="193" customFormat="1" ht="13.5" x14ac:dyDescent="0.25"/>
    <row r="218" s="193" customFormat="1" ht="13.5" x14ac:dyDescent="0.25"/>
    <row r="219" s="193" customFormat="1" ht="13.5" x14ac:dyDescent="0.25"/>
    <row r="220" s="193" customFormat="1" ht="13.5" x14ac:dyDescent="0.25"/>
    <row r="221" s="193" customFormat="1" ht="13.5" x14ac:dyDescent="0.25"/>
    <row r="222" s="193" customFormat="1" ht="13.5" x14ac:dyDescent="0.25"/>
    <row r="223" s="193" customFormat="1" ht="13.5" x14ac:dyDescent="0.25"/>
    <row r="224" s="193" customFormat="1" ht="13.5" x14ac:dyDescent="0.25"/>
    <row r="225" s="193" customFormat="1" ht="13.5" x14ac:dyDescent="0.25"/>
    <row r="226" s="193" customFormat="1" ht="13.5" x14ac:dyDescent="0.25"/>
    <row r="227" s="193" customFormat="1" ht="13.5" x14ac:dyDescent="0.25"/>
    <row r="228" s="193" customFormat="1" ht="13.5" x14ac:dyDescent="0.25"/>
    <row r="229" s="193" customFormat="1" ht="13.5" x14ac:dyDescent="0.25"/>
    <row r="230" s="193" customFormat="1" ht="13.5" x14ac:dyDescent="0.25"/>
    <row r="231" s="193" customFormat="1" ht="13.5" x14ac:dyDescent="0.25"/>
    <row r="232" s="193" customFormat="1" ht="13.5" x14ac:dyDescent="0.25"/>
    <row r="233" s="193" customFormat="1" ht="13.5" x14ac:dyDescent="0.25"/>
    <row r="234" s="193" customFormat="1" ht="13.5" x14ac:dyDescent="0.25"/>
    <row r="235" s="193" customFormat="1" ht="13.5" x14ac:dyDescent="0.25"/>
    <row r="236" s="193" customFormat="1" ht="13.5" x14ac:dyDescent="0.25"/>
    <row r="237" s="193" customFormat="1" ht="13.5" x14ac:dyDescent="0.25"/>
    <row r="238" s="193" customFormat="1" ht="13.5" x14ac:dyDescent="0.25"/>
    <row r="239" s="193" customFormat="1" ht="13.5" x14ac:dyDescent="0.25"/>
    <row r="240" s="193" customFormat="1" ht="13.5" x14ac:dyDescent="0.25"/>
    <row r="241" s="193" customFormat="1" ht="13.5" x14ac:dyDescent="0.25"/>
    <row r="242" s="193" customFormat="1" ht="13.5" x14ac:dyDescent="0.25"/>
    <row r="243" s="193" customFormat="1" ht="13.5" x14ac:dyDescent="0.25"/>
    <row r="244" s="193" customFormat="1" ht="13.5" x14ac:dyDescent="0.25"/>
    <row r="245" s="193" customFormat="1" ht="13.5" x14ac:dyDescent="0.25"/>
    <row r="246" s="193" customFormat="1" ht="13.5" x14ac:dyDescent="0.25"/>
    <row r="247" s="193" customFormat="1" ht="13.5" x14ac:dyDescent="0.25"/>
    <row r="248" s="193" customFormat="1" ht="13.5" x14ac:dyDescent="0.25"/>
    <row r="249" s="193" customFormat="1" ht="13.5" x14ac:dyDescent="0.25"/>
    <row r="250" s="193" customFormat="1" ht="13.5" x14ac:dyDescent="0.25"/>
    <row r="251" s="193" customFormat="1" ht="13.5" x14ac:dyDescent="0.25"/>
    <row r="252" s="193" customFormat="1" ht="13.5" x14ac:dyDescent="0.25"/>
    <row r="253" s="193" customFormat="1" ht="13.5" x14ac:dyDescent="0.25"/>
    <row r="254" s="193" customFormat="1" ht="13.5" x14ac:dyDescent="0.25"/>
    <row r="255" s="193" customFormat="1" ht="13.5" x14ac:dyDescent="0.25"/>
    <row r="256" s="193" customFormat="1" ht="13.5" x14ac:dyDescent="0.25"/>
    <row r="257" s="193" customFormat="1" ht="13.5" x14ac:dyDescent="0.25"/>
    <row r="258" s="193" customFormat="1" ht="13.5" x14ac:dyDescent="0.25"/>
    <row r="259" s="193" customFormat="1" ht="13.5" x14ac:dyDescent="0.25"/>
    <row r="260" s="193" customFormat="1" ht="13.5" x14ac:dyDescent="0.25"/>
    <row r="261" s="193" customFormat="1" ht="13.5" x14ac:dyDescent="0.25"/>
    <row r="262" s="193" customFormat="1" ht="13.5" x14ac:dyDescent="0.25"/>
    <row r="263" s="193" customFormat="1" ht="13.5" x14ac:dyDescent="0.25"/>
    <row r="264" s="193" customFormat="1" ht="13.5" x14ac:dyDescent="0.25"/>
    <row r="265" s="193" customFormat="1" ht="13.5" x14ac:dyDescent="0.25"/>
    <row r="266" s="193" customFormat="1" ht="13.5" x14ac:dyDescent="0.25"/>
    <row r="267" s="193" customFormat="1" ht="13.5" x14ac:dyDescent="0.25"/>
    <row r="268" s="193" customFormat="1" ht="13.5" x14ac:dyDescent="0.25"/>
    <row r="269" s="193" customFormat="1" ht="13.5" x14ac:dyDescent="0.25"/>
    <row r="270" s="193" customFormat="1" ht="13.5" x14ac:dyDescent="0.25"/>
    <row r="271" s="193" customFormat="1" ht="13.5" x14ac:dyDescent="0.25"/>
    <row r="272" s="193" customFormat="1" ht="13.5" x14ac:dyDescent="0.25"/>
    <row r="273" s="193" customFormat="1" ht="13.5" x14ac:dyDescent="0.25"/>
    <row r="274" s="193" customFormat="1" ht="13.5" x14ac:dyDescent="0.25"/>
    <row r="275" s="193" customFormat="1" ht="13.5" x14ac:dyDescent="0.25"/>
    <row r="276" s="193" customFormat="1" ht="13.5" x14ac:dyDescent="0.25"/>
    <row r="277" s="193" customFormat="1" ht="13.5" x14ac:dyDescent="0.25"/>
    <row r="278" s="193" customFormat="1" ht="13.5" x14ac:dyDescent="0.25"/>
    <row r="279" s="193" customFormat="1" ht="13.5" x14ac:dyDescent="0.25"/>
    <row r="280" s="193" customFormat="1" ht="13.5" x14ac:dyDescent="0.25"/>
    <row r="281" s="193" customFormat="1" ht="13.5" x14ac:dyDescent="0.25"/>
    <row r="282" s="193" customFormat="1" ht="13.5" x14ac:dyDescent="0.25"/>
    <row r="283" s="193" customFormat="1" ht="13.5" x14ac:dyDescent="0.25"/>
    <row r="284" s="193" customFormat="1" ht="13.5" x14ac:dyDescent="0.25"/>
    <row r="285" s="193" customFormat="1" ht="13.5" x14ac:dyDescent="0.25"/>
    <row r="286" s="193" customFormat="1" ht="13.5" x14ac:dyDescent="0.25"/>
    <row r="287" s="193" customFormat="1" ht="13.5" x14ac:dyDescent="0.25"/>
    <row r="288" s="193" customFormat="1" ht="13.5" x14ac:dyDescent="0.25"/>
    <row r="289" s="193" customFormat="1" ht="13.5" x14ac:dyDescent="0.25"/>
    <row r="290" s="193" customFormat="1" ht="13.5" x14ac:dyDescent="0.25"/>
    <row r="291" s="193" customFormat="1" ht="13.5" x14ac:dyDescent="0.25"/>
    <row r="292" s="193" customFormat="1" ht="13.5" x14ac:dyDescent="0.25"/>
    <row r="293" s="193" customFormat="1" ht="13.5" x14ac:dyDescent="0.25"/>
    <row r="294" s="193" customFormat="1" ht="13.5" x14ac:dyDescent="0.25"/>
    <row r="295" s="193" customFormat="1" ht="13.5" x14ac:dyDescent="0.25"/>
    <row r="296" s="193" customFormat="1" ht="13.5" x14ac:dyDescent="0.25"/>
    <row r="297" s="193" customFormat="1" ht="13.5" x14ac:dyDescent="0.25"/>
    <row r="298" s="193" customFormat="1" ht="13.5" x14ac:dyDescent="0.25"/>
    <row r="299" s="193" customFormat="1" ht="13.5" x14ac:dyDescent="0.25"/>
    <row r="300" s="193" customFormat="1" ht="13.5" x14ac:dyDescent="0.25"/>
    <row r="301" s="193" customFormat="1" ht="13.5" x14ac:dyDescent="0.25"/>
    <row r="302" s="193" customFormat="1" ht="13.5" x14ac:dyDescent="0.25"/>
    <row r="303" s="193" customFormat="1" ht="13.5" x14ac:dyDescent="0.25"/>
    <row r="304" s="193" customFormat="1" ht="13.5" x14ac:dyDescent="0.25"/>
    <row r="305" s="193" customFormat="1" ht="13.5" x14ac:dyDescent="0.25"/>
    <row r="306" s="193" customFormat="1" ht="13.5" x14ac:dyDescent="0.25"/>
    <row r="307" s="193" customFormat="1" ht="13.5" x14ac:dyDescent="0.25"/>
    <row r="308" s="193" customFormat="1" ht="13.5" x14ac:dyDescent="0.25"/>
    <row r="309" s="193" customFormat="1" ht="13.5" x14ac:dyDescent="0.25"/>
    <row r="310" s="193" customFormat="1" ht="13.5" x14ac:dyDescent="0.25"/>
    <row r="311" s="193" customFormat="1" ht="13.5" x14ac:dyDescent="0.25"/>
    <row r="312" s="193" customFormat="1" ht="13.5" x14ac:dyDescent="0.25"/>
    <row r="313" s="193" customFormat="1" ht="13.5" x14ac:dyDescent="0.25"/>
    <row r="314" s="193" customFormat="1" ht="13.5" x14ac:dyDescent="0.25"/>
    <row r="315" s="193" customFormat="1" ht="13.5" x14ac:dyDescent="0.25"/>
    <row r="316" s="193" customFormat="1" ht="13.5" x14ac:dyDescent="0.25"/>
    <row r="317" s="193" customFormat="1" ht="13.5" x14ac:dyDescent="0.25"/>
    <row r="318" s="193" customFormat="1" ht="13.5" x14ac:dyDescent="0.25"/>
    <row r="319" s="193" customFormat="1" ht="13.5" x14ac:dyDescent="0.25"/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1CC0E-F8A0-450C-BEEC-FED951E44733}">
  <dimension ref="A1:G319"/>
  <sheetViews>
    <sheetView showGridLines="0" showRowColHeaders="0" topLeftCell="A44" workbookViewId="0">
      <selection activeCell="G11" sqref="G11"/>
    </sheetView>
  </sheetViews>
  <sheetFormatPr defaultColWidth="8.7109375" defaultRowHeight="12.75" x14ac:dyDescent="0.2"/>
  <cols>
    <col min="1" max="2" width="6.42578125" style="191" customWidth="1"/>
    <col min="3" max="3" width="55.42578125" style="191" customWidth="1"/>
    <col min="4" max="4" width="7.28515625" style="191" customWidth="1"/>
    <col min="5" max="16384" width="8.7109375" style="191"/>
  </cols>
  <sheetData>
    <row r="1" spans="1:7" ht="38.1" customHeight="1" x14ac:dyDescent="0.2">
      <c r="A1" s="489" t="s">
        <v>2766</v>
      </c>
      <c r="B1" s="489"/>
      <c r="C1" s="489"/>
      <c r="D1" s="489"/>
    </row>
    <row r="2" spans="1:7" s="193" customFormat="1" ht="22.5" customHeight="1" x14ac:dyDescent="0.25">
      <c r="A2" s="511" t="s">
        <v>2767</v>
      </c>
      <c r="B2" s="511"/>
      <c r="C2" s="511"/>
      <c r="D2" s="511"/>
    </row>
    <row r="3" spans="1:7" s="193" customFormat="1" ht="13.5" x14ac:dyDescent="0.25">
      <c r="A3" s="501" t="s">
        <v>363</v>
      </c>
      <c r="B3" s="501"/>
      <c r="C3" s="501" t="s">
        <v>1448</v>
      </c>
      <c r="D3" s="501" t="s">
        <v>1449</v>
      </c>
    </row>
    <row r="4" spans="1:7" s="193" customFormat="1" ht="13.5" x14ac:dyDescent="0.25">
      <c r="A4" s="226" t="s">
        <v>367</v>
      </c>
      <c r="B4" s="226" t="s">
        <v>368</v>
      </c>
      <c r="C4" s="501"/>
      <c r="D4" s="501"/>
    </row>
    <row r="5" spans="1:7" s="193" customFormat="1" ht="13.5" x14ac:dyDescent="0.25">
      <c r="A5" s="224"/>
      <c r="B5" s="224"/>
      <c r="C5" s="214" t="s">
        <v>2639</v>
      </c>
      <c r="D5" s="224"/>
    </row>
    <row r="6" spans="1:7" s="193" customFormat="1" ht="27" x14ac:dyDescent="0.25">
      <c r="A6" s="224"/>
      <c r="B6" s="224"/>
      <c r="C6" s="241" t="s">
        <v>2768</v>
      </c>
      <c r="D6" s="224"/>
    </row>
    <row r="7" spans="1:7" s="193" customFormat="1" ht="13.5" x14ac:dyDescent="0.25">
      <c r="A7" s="217">
        <v>10920</v>
      </c>
      <c r="B7" s="217" t="s">
        <v>2640</v>
      </c>
      <c r="C7" s="215" t="s">
        <v>2641</v>
      </c>
      <c r="D7" s="227">
        <v>25</v>
      </c>
      <c r="G7" s="193" t="s">
        <v>86</v>
      </c>
    </row>
    <row r="8" spans="1:7" s="193" customFormat="1" ht="13.5" x14ac:dyDescent="0.25">
      <c r="A8" s="217">
        <v>10930</v>
      </c>
      <c r="B8" s="217" t="s">
        <v>2642</v>
      </c>
      <c r="C8" s="215" t="s">
        <v>2643</v>
      </c>
      <c r="D8" s="227">
        <v>25</v>
      </c>
    </row>
    <row r="9" spans="1:7" s="193" customFormat="1" ht="13.5" x14ac:dyDescent="0.25">
      <c r="A9" s="217">
        <v>10935</v>
      </c>
      <c r="B9" s="217" t="s">
        <v>2644</v>
      </c>
      <c r="C9" s="215" t="s">
        <v>2645</v>
      </c>
      <c r="D9" s="227">
        <v>25</v>
      </c>
    </row>
    <row r="10" spans="1:7" s="193" customFormat="1" ht="13.5" x14ac:dyDescent="0.25">
      <c r="A10" s="217">
        <v>10955</v>
      </c>
      <c r="B10" s="217" t="s">
        <v>2646</v>
      </c>
      <c r="C10" s="215" t="s">
        <v>2647</v>
      </c>
      <c r="D10" s="227">
        <v>35</v>
      </c>
    </row>
    <row r="11" spans="1:7" s="193" customFormat="1" ht="13.5" x14ac:dyDescent="0.25">
      <c r="A11" s="224"/>
      <c r="B11" s="224"/>
      <c r="C11" s="214" t="s">
        <v>319</v>
      </c>
      <c r="D11" s="224"/>
    </row>
    <row r="12" spans="1:7" s="193" customFormat="1" ht="27" x14ac:dyDescent="0.25">
      <c r="A12" s="224"/>
      <c r="B12" s="224"/>
      <c r="C12" s="241" t="s">
        <v>2769</v>
      </c>
      <c r="D12" s="224"/>
    </row>
    <row r="13" spans="1:7" s="193" customFormat="1" ht="13.5" x14ac:dyDescent="0.25">
      <c r="A13" s="217">
        <v>80010</v>
      </c>
      <c r="B13" s="217" t="s">
        <v>1888</v>
      </c>
      <c r="C13" s="215" t="s">
        <v>1889</v>
      </c>
      <c r="D13" s="217">
        <v>17.48</v>
      </c>
    </row>
    <row r="14" spans="1:7" s="193" customFormat="1" ht="13.5" x14ac:dyDescent="0.25">
      <c r="A14" s="217">
        <v>80040</v>
      </c>
      <c r="B14" s="217" t="s">
        <v>1890</v>
      </c>
      <c r="C14" s="215" t="s">
        <v>1891</v>
      </c>
      <c r="D14" s="217">
        <v>16.63</v>
      </c>
    </row>
    <row r="15" spans="1:7" s="193" customFormat="1" ht="27" x14ac:dyDescent="0.25">
      <c r="A15" s="217">
        <v>80100</v>
      </c>
      <c r="B15" s="217" t="s">
        <v>1892</v>
      </c>
      <c r="C15" s="215" t="s">
        <v>1893</v>
      </c>
      <c r="D15" s="217">
        <v>19.23</v>
      </c>
    </row>
    <row r="16" spans="1:7" s="193" customFormat="1" ht="13.5" x14ac:dyDescent="0.25">
      <c r="A16" s="217">
        <v>80110</v>
      </c>
      <c r="B16" s="217" t="s">
        <v>1894</v>
      </c>
      <c r="C16" s="215" t="s">
        <v>1895</v>
      </c>
      <c r="D16" s="217">
        <v>23.4</v>
      </c>
    </row>
    <row r="17" spans="1:4" s="193" customFormat="1" ht="27" x14ac:dyDescent="0.25">
      <c r="A17" s="217">
        <v>80115</v>
      </c>
      <c r="B17" s="217" t="s">
        <v>1896</v>
      </c>
      <c r="C17" s="215" t="s">
        <v>1897</v>
      </c>
      <c r="D17" s="217">
        <v>25.96</v>
      </c>
    </row>
    <row r="18" spans="1:4" s="193" customFormat="1" ht="27" x14ac:dyDescent="0.25">
      <c r="A18" s="217">
        <v>80117</v>
      </c>
      <c r="B18" s="217" t="s">
        <v>1898</v>
      </c>
      <c r="C18" s="215" t="s">
        <v>1899</v>
      </c>
      <c r="D18" s="217">
        <v>25.96</v>
      </c>
    </row>
    <row r="19" spans="1:4" s="193" customFormat="1" ht="13.5" x14ac:dyDescent="0.25">
      <c r="A19" s="217">
        <v>80121</v>
      </c>
      <c r="B19" s="217" t="s">
        <v>1900</v>
      </c>
      <c r="C19" s="215" t="s">
        <v>1901</v>
      </c>
      <c r="D19" s="217">
        <v>25.96</v>
      </c>
    </row>
    <row r="20" spans="1:4" s="193" customFormat="1" ht="13.5" x14ac:dyDescent="0.25">
      <c r="A20" s="217">
        <v>80130</v>
      </c>
      <c r="B20" s="217" t="s">
        <v>1902</v>
      </c>
      <c r="C20" s="215" t="s">
        <v>1903</v>
      </c>
      <c r="D20" s="217">
        <v>19.23</v>
      </c>
    </row>
    <row r="21" spans="1:4" s="193" customFormat="1" ht="13.5" x14ac:dyDescent="0.25">
      <c r="A21" s="217">
        <v>80160</v>
      </c>
      <c r="B21" s="217" t="s">
        <v>1904</v>
      </c>
      <c r="C21" s="215" t="s">
        <v>1905</v>
      </c>
      <c r="D21" s="217">
        <v>20.39</v>
      </c>
    </row>
    <row r="22" spans="1:4" s="193" customFormat="1" ht="13.5" x14ac:dyDescent="0.25">
      <c r="A22" s="217">
        <v>80170</v>
      </c>
      <c r="B22" s="217" t="s">
        <v>1906</v>
      </c>
      <c r="C22" s="215" t="s">
        <v>1907</v>
      </c>
      <c r="D22" s="217">
        <v>22.43</v>
      </c>
    </row>
    <row r="23" spans="1:4" s="193" customFormat="1" ht="27" x14ac:dyDescent="0.25">
      <c r="A23" s="217">
        <v>80200</v>
      </c>
      <c r="B23" s="217" t="s">
        <v>1908</v>
      </c>
      <c r="C23" s="215" t="s">
        <v>1909</v>
      </c>
      <c r="D23" s="217">
        <v>37.76</v>
      </c>
    </row>
    <row r="24" spans="1:4" s="193" customFormat="1" ht="13.5" x14ac:dyDescent="0.25">
      <c r="A24" s="224"/>
      <c r="B24" s="224"/>
      <c r="C24" s="214" t="s">
        <v>223</v>
      </c>
      <c r="D24" s="224"/>
    </row>
    <row r="25" spans="1:4" s="193" customFormat="1" ht="27" x14ac:dyDescent="0.25">
      <c r="A25" s="224"/>
      <c r="B25" s="224"/>
      <c r="C25" s="241" t="s">
        <v>2770</v>
      </c>
      <c r="D25" s="224"/>
    </row>
    <row r="26" spans="1:4" s="193" customFormat="1" ht="13.5" x14ac:dyDescent="0.25">
      <c r="A26" s="217">
        <v>61061</v>
      </c>
      <c r="B26" s="217" t="s">
        <v>1801</v>
      </c>
      <c r="C26" s="215" t="s">
        <v>223</v>
      </c>
      <c r="D26" s="217">
        <v>3.97</v>
      </c>
    </row>
    <row r="27" spans="1:4" s="193" customFormat="1" ht="13.5" x14ac:dyDescent="0.25">
      <c r="A27" s="217">
        <v>61062</v>
      </c>
      <c r="B27" s="217" t="s">
        <v>1802</v>
      </c>
      <c r="C27" s="215" t="s">
        <v>1803</v>
      </c>
      <c r="D27" s="217">
        <v>3.61</v>
      </c>
    </row>
    <row r="28" spans="1:4" s="193" customFormat="1" ht="13.5" x14ac:dyDescent="0.25">
      <c r="A28" s="224"/>
      <c r="B28" s="224"/>
      <c r="C28" s="214" t="s">
        <v>1967</v>
      </c>
      <c r="D28" s="224"/>
    </row>
    <row r="29" spans="1:4" s="193" customFormat="1" ht="13.5" x14ac:dyDescent="0.25">
      <c r="A29" s="224"/>
      <c r="B29" s="224"/>
      <c r="C29" s="214" t="s">
        <v>1968</v>
      </c>
      <c r="D29" s="224"/>
    </row>
    <row r="30" spans="1:4" s="193" customFormat="1" ht="27" x14ac:dyDescent="0.25">
      <c r="A30" s="224"/>
      <c r="B30" s="224"/>
      <c r="C30" s="241" t="s">
        <v>2771</v>
      </c>
      <c r="D30" s="224"/>
    </row>
    <row r="31" spans="1:4" s="193" customFormat="1" ht="27" x14ac:dyDescent="0.25">
      <c r="A31" s="217">
        <v>95005</v>
      </c>
      <c r="B31" s="217" t="s">
        <v>1969</v>
      </c>
      <c r="C31" s="215" t="s">
        <v>1970</v>
      </c>
      <c r="D31" s="217">
        <v>6.22</v>
      </c>
    </row>
    <row r="32" spans="1:4" s="193" customFormat="1" ht="27" x14ac:dyDescent="0.25">
      <c r="A32" s="217">
        <v>95010</v>
      </c>
      <c r="B32" s="217" t="s">
        <v>1971</v>
      </c>
      <c r="C32" s="215" t="s">
        <v>1972</v>
      </c>
      <c r="D32" s="217">
        <v>6.22</v>
      </c>
    </row>
    <row r="33" spans="1:4" s="193" customFormat="1" ht="27" x14ac:dyDescent="0.25">
      <c r="A33" s="217">
        <v>95015</v>
      </c>
      <c r="B33" s="217" t="s">
        <v>1973</v>
      </c>
      <c r="C33" s="215" t="s">
        <v>1974</v>
      </c>
      <c r="D33" s="217">
        <v>6.22</v>
      </c>
    </row>
    <row r="34" spans="1:4" s="193" customFormat="1" ht="13.5" x14ac:dyDescent="0.25">
      <c r="A34" s="224"/>
      <c r="B34" s="224"/>
      <c r="C34" s="214" t="s">
        <v>2772</v>
      </c>
      <c r="D34" s="224"/>
    </row>
    <row r="35" spans="1:4" s="193" customFormat="1" ht="27" x14ac:dyDescent="0.25">
      <c r="A35" s="224"/>
      <c r="B35" s="224"/>
      <c r="C35" s="241" t="s">
        <v>2773</v>
      </c>
      <c r="D35" s="224"/>
    </row>
    <row r="36" spans="1:4" s="193" customFormat="1" ht="13.5" x14ac:dyDescent="0.25">
      <c r="A36" s="217">
        <v>21789</v>
      </c>
      <c r="B36" s="217" t="s">
        <v>1470</v>
      </c>
      <c r="C36" s="215" t="s">
        <v>1471</v>
      </c>
      <c r="D36" s="217">
        <v>13.2</v>
      </c>
    </row>
    <row r="37" spans="1:4" s="193" customFormat="1" ht="13.5" x14ac:dyDescent="0.25">
      <c r="A37" s="224"/>
      <c r="B37" s="224"/>
      <c r="C37" s="214" t="s">
        <v>1774</v>
      </c>
      <c r="D37" s="224"/>
    </row>
    <row r="38" spans="1:4" s="193" customFormat="1" ht="40.5" x14ac:dyDescent="0.25">
      <c r="A38" s="224"/>
      <c r="B38" s="224"/>
      <c r="C38" s="241" t="s">
        <v>2774</v>
      </c>
      <c r="D38" s="224"/>
    </row>
    <row r="39" spans="1:4" s="193" customFormat="1" ht="13.5" x14ac:dyDescent="0.25">
      <c r="A39" s="217">
        <v>60438</v>
      </c>
      <c r="B39" s="217" t="s">
        <v>1775</v>
      </c>
      <c r="C39" s="215" t="s">
        <v>1776</v>
      </c>
      <c r="D39" s="217">
        <v>1.5</v>
      </c>
    </row>
    <row r="40" spans="1:4" s="193" customFormat="1" ht="13.5" x14ac:dyDescent="0.25">
      <c r="A40" s="217">
        <v>60437</v>
      </c>
      <c r="B40" s="217" t="s">
        <v>1777</v>
      </c>
      <c r="C40" s="215" t="s">
        <v>1778</v>
      </c>
      <c r="D40" s="217">
        <v>1.5</v>
      </c>
    </row>
    <row r="41" spans="1:4" s="193" customFormat="1" ht="13.5" x14ac:dyDescent="0.25">
      <c r="A41" s="217">
        <v>61137</v>
      </c>
      <c r="B41" s="217" t="s">
        <v>1779</v>
      </c>
      <c r="C41" s="215" t="s">
        <v>1780</v>
      </c>
      <c r="D41" s="217">
        <v>3.5</v>
      </c>
    </row>
    <row r="42" spans="1:4" s="193" customFormat="1" ht="13.5" x14ac:dyDescent="0.25">
      <c r="A42" s="217">
        <v>99030</v>
      </c>
      <c r="B42" s="217" t="s">
        <v>1781</v>
      </c>
      <c r="C42" s="215" t="s">
        <v>1782</v>
      </c>
      <c r="D42" s="217">
        <v>1.84</v>
      </c>
    </row>
    <row r="43" spans="1:4" s="193" customFormat="1" ht="13.5" x14ac:dyDescent="0.25">
      <c r="A43" s="224"/>
      <c r="B43" s="224"/>
      <c r="C43" s="214" t="s">
        <v>1757</v>
      </c>
      <c r="D43" s="224"/>
    </row>
    <row r="44" spans="1:4" s="193" customFormat="1" ht="27" x14ac:dyDescent="0.25">
      <c r="A44" s="224"/>
      <c r="B44" s="224"/>
      <c r="C44" s="241" t="s">
        <v>2775</v>
      </c>
      <c r="D44" s="224"/>
    </row>
    <row r="45" spans="1:4" s="193" customFormat="1" ht="13.5" x14ac:dyDescent="0.25">
      <c r="A45" s="217">
        <v>60430</v>
      </c>
      <c r="B45" s="217" t="s">
        <v>1758</v>
      </c>
      <c r="C45" s="215" t="s">
        <v>1759</v>
      </c>
      <c r="D45" s="217">
        <v>2.17</v>
      </c>
    </row>
    <row r="46" spans="1:4" s="193" customFormat="1" ht="13.5" x14ac:dyDescent="0.25">
      <c r="A46" s="224"/>
      <c r="B46" s="224"/>
      <c r="C46" s="214" t="s">
        <v>28</v>
      </c>
      <c r="D46" s="224"/>
    </row>
    <row r="47" spans="1:4" s="193" customFormat="1" ht="27" x14ac:dyDescent="0.25">
      <c r="A47" s="224"/>
      <c r="B47" s="217"/>
      <c r="C47" s="241" t="s">
        <v>2776</v>
      </c>
      <c r="D47" s="224"/>
    </row>
    <row r="48" spans="1:4" s="193" customFormat="1" ht="13.5" x14ac:dyDescent="0.25">
      <c r="A48" s="217">
        <v>40560</v>
      </c>
      <c r="B48" s="217" t="s">
        <v>1599</v>
      </c>
      <c r="C48" s="215" t="s">
        <v>1600</v>
      </c>
      <c r="D48" s="217">
        <v>38.799999999999997</v>
      </c>
    </row>
    <row r="49" spans="1:4" s="193" customFormat="1" ht="13.5" x14ac:dyDescent="0.25">
      <c r="A49" s="217">
        <v>40550</v>
      </c>
      <c r="B49" s="217" t="s">
        <v>1601</v>
      </c>
      <c r="C49" s="215" t="s">
        <v>1602</v>
      </c>
      <c r="D49" s="217">
        <v>53.2</v>
      </c>
    </row>
    <row r="50" spans="1:4" s="193" customFormat="1" ht="13.5" x14ac:dyDescent="0.25">
      <c r="A50" s="217">
        <v>40551</v>
      </c>
      <c r="B50" s="217" t="s">
        <v>1605</v>
      </c>
      <c r="C50" s="215" t="s">
        <v>1606</v>
      </c>
      <c r="D50" s="217">
        <v>60.7</v>
      </c>
    </row>
    <row r="51" spans="1:4" s="193" customFormat="1" ht="13.5" x14ac:dyDescent="0.25">
      <c r="A51" s="217">
        <v>40655</v>
      </c>
      <c r="B51" s="217" t="s">
        <v>1603</v>
      </c>
      <c r="C51" s="215" t="s">
        <v>1604</v>
      </c>
      <c r="D51" s="217">
        <v>211.2</v>
      </c>
    </row>
    <row r="52" spans="1:4" s="193" customFormat="1" ht="13.5" x14ac:dyDescent="0.25">
      <c r="A52" s="224"/>
      <c r="B52" s="224"/>
      <c r="C52" s="214" t="s">
        <v>2997</v>
      </c>
      <c r="D52" s="224"/>
    </row>
    <row r="53" spans="1:4" s="193" customFormat="1" ht="27" x14ac:dyDescent="0.25">
      <c r="A53" s="224"/>
      <c r="B53" s="224"/>
      <c r="C53" s="241" t="s">
        <v>2777</v>
      </c>
      <c r="D53" s="224"/>
    </row>
    <row r="54" spans="1:4" s="193" customFormat="1" ht="27" x14ac:dyDescent="0.25">
      <c r="A54" s="217">
        <v>17290</v>
      </c>
      <c r="B54" s="217" t="s">
        <v>416</v>
      </c>
      <c r="C54" s="215" t="s">
        <v>2955</v>
      </c>
      <c r="D54" s="227">
        <v>35</v>
      </c>
    </row>
    <row r="55" spans="1:4" s="193" customFormat="1" ht="13.5" x14ac:dyDescent="0.25">
      <c r="A55" s="224"/>
      <c r="B55" s="224"/>
      <c r="C55" s="214" t="s">
        <v>2778</v>
      </c>
      <c r="D55" s="224"/>
    </row>
    <row r="56" spans="1:4" s="193" customFormat="1" ht="27" x14ac:dyDescent="0.25">
      <c r="A56" s="224"/>
      <c r="B56" s="224"/>
      <c r="C56" s="241" t="s">
        <v>2779</v>
      </c>
      <c r="D56" s="224"/>
    </row>
    <row r="57" spans="1:4" s="193" customFormat="1" ht="13.5" x14ac:dyDescent="0.25">
      <c r="A57" s="217">
        <v>17135</v>
      </c>
      <c r="B57" s="217" t="s">
        <v>2602</v>
      </c>
      <c r="C57" s="215" t="s">
        <v>2603</v>
      </c>
      <c r="D57" s="227">
        <v>26</v>
      </c>
    </row>
    <row r="58" spans="1:4" s="193" customFormat="1" ht="13.5" x14ac:dyDescent="0.25">
      <c r="A58" s="217">
        <v>17150</v>
      </c>
      <c r="B58" s="217" t="s">
        <v>2604</v>
      </c>
      <c r="C58" s="215" t="s">
        <v>2605</v>
      </c>
      <c r="D58" s="227">
        <v>26</v>
      </c>
    </row>
    <row r="59" spans="1:4" s="193" customFormat="1" ht="13.5" x14ac:dyDescent="0.25">
      <c r="A59" s="217">
        <v>17211</v>
      </c>
      <c r="B59" s="217" t="s">
        <v>2607</v>
      </c>
      <c r="C59" s="215" t="s">
        <v>2608</v>
      </c>
      <c r="D59" s="227">
        <v>26</v>
      </c>
    </row>
    <row r="60" spans="1:4" s="193" customFormat="1" ht="13.5" x14ac:dyDescent="0.25">
      <c r="A60" s="224"/>
      <c r="B60" s="224"/>
      <c r="C60" s="214" t="s">
        <v>2780</v>
      </c>
      <c r="D60" s="224"/>
    </row>
    <row r="61" spans="1:4" s="193" customFormat="1" ht="27" x14ac:dyDescent="0.25">
      <c r="A61" s="224"/>
      <c r="B61" s="224"/>
      <c r="C61" s="241" t="s">
        <v>2781</v>
      </c>
      <c r="D61" s="224"/>
    </row>
    <row r="62" spans="1:4" s="193" customFormat="1" ht="13.5" x14ac:dyDescent="0.25">
      <c r="A62" s="217">
        <v>60181</v>
      </c>
      <c r="B62" s="217" t="s">
        <v>1691</v>
      </c>
      <c r="C62" s="215" t="s">
        <v>1692</v>
      </c>
      <c r="D62" s="217">
        <v>10.85</v>
      </c>
    </row>
    <row r="63" spans="1:4" s="193" customFormat="1" ht="13.5" x14ac:dyDescent="0.25">
      <c r="A63" s="224"/>
      <c r="B63" s="224"/>
      <c r="C63" s="214" t="s">
        <v>2011</v>
      </c>
      <c r="D63" s="224"/>
    </row>
    <row r="64" spans="1:4" s="193" customFormat="1" ht="27" x14ac:dyDescent="0.25">
      <c r="A64" s="224"/>
      <c r="B64" s="224"/>
      <c r="C64" s="241" t="s">
        <v>2782</v>
      </c>
      <c r="D64" s="224"/>
    </row>
    <row r="65" spans="1:4" s="193" customFormat="1" ht="27" x14ac:dyDescent="0.25">
      <c r="A65" s="217">
        <v>63401</v>
      </c>
      <c r="B65" s="217" t="s">
        <v>2012</v>
      </c>
      <c r="C65" s="215" t="s">
        <v>2013</v>
      </c>
      <c r="D65" s="217">
        <v>21.27</v>
      </c>
    </row>
    <row r="66" spans="1:4" s="193" customFormat="1" ht="27" x14ac:dyDescent="0.25">
      <c r="A66" s="217">
        <v>63403</v>
      </c>
      <c r="B66" s="217" t="s">
        <v>2014</v>
      </c>
      <c r="C66" s="215" t="s">
        <v>2015</v>
      </c>
      <c r="D66" s="217">
        <v>21.27</v>
      </c>
    </row>
    <row r="67" spans="1:4" s="193" customFormat="1" ht="13.5" x14ac:dyDescent="0.25">
      <c r="A67" s="219">
        <v>63330</v>
      </c>
      <c r="B67" s="219" t="s">
        <v>2008</v>
      </c>
      <c r="C67" s="225" t="s">
        <v>2009</v>
      </c>
      <c r="D67" s="219">
        <v>56.45</v>
      </c>
    </row>
    <row r="68" spans="1:4" s="193" customFormat="1" ht="13.5" x14ac:dyDescent="0.25"/>
    <row r="69" spans="1:4" s="193" customFormat="1" ht="13.5" x14ac:dyDescent="0.25"/>
    <row r="70" spans="1:4" s="193" customFormat="1" ht="13.5" x14ac:dyDescent="0.25"/>
    <row r="71" spans="1:4" s="193" customFormat="1" ht="13.5" x14ac:dyDescent="0.25"/>
    <row r="72" spans="1:4" s="193" customFormat="1" ht="13.5" x14ac:dyDescent="0.25"/>
    <row r="73" spans="1:4" s="193" customFormat="1" ht="13.5" x14ac:dyDescent="0.25"/>
    <row r="74" spans="1:4" s="193" customFormat="1" ht="13.5" x14ac:dyDescent="0.25"/>
    <row r="75" spans="1:4" s="193" customFormat="1" ht="13.5" x14ac:dyDescent="0.25"/>
    <row r="76" spans="1:4" s="193" customFormat="1" ht="13.5" x14ac:dyDescent="0.25"/>
    <row r="77" spans="1:4" s="193" customFormat="1" ht="13.5" x14ac:dyDescent="0.25"/>
    <row r="78" spans="1:4" s="193" customFormat="1" ht="13.5" x14ac:dyDescent="0.25"/>
    <row r="79" spans="1:4" s="193" customFormat="1" ht="13.5" x14ac:dyDescent="0.25"/>
    <row r="80" spans="1:4" s="193" customFormat="1" ht="13.5" x14ac:dyDescent="0.25"/>
    <row r="81" s="193" customFormat="1" ht="13.5" x14ac:dyDescent="0.25"/>
    <row r="82" s="193" customFormat="1" ht="13.5" x14ac:dyDescent="0.25"/>
    <row r="83" s="193" customFormat="1" ht="13.5" x14ac:dyDescent="0.25"/>
    <row r="84" s="193" customFormat="1" ht="13.5" x14ac:dyDescent="0.25"/>
    <row r="85" s="193" customFormat="1" ht="13.5" x14ac:dyDescent="0.25"/>
    <row r="86" s="193" customFormat="1" ht="13.5" x14ac:dyDescent="0.25"/>
    <row r="87" s="193" customFormat="1" ht="13.5" x14ac:dyDescent="0.25"/>
    <row r="88" s="193" customFormat="1" ht="13.5" x14ac:dyDescent="0.25"/>
    <row r="89" s="193" customFormat="1" ht="13.5" x14ac:dyDescent="0.25"/>
    <row r="90" s="193" customFormat="1" ht="13.5" x14ac:dyDescent="0.25"/>
    <row r="91" s="193" customFormat="1" ht="13.5" x14ac:dyDescent="0.25"/>
    <row r="92" s="193" customFormat="1" ht="13.5" x14ac:dyDescent="0.25"/>
    <row r="93" s="193" customFormat="1" ht="13.5" x14ac:dyDescent="0.25"/>
    <row r="94" s="193" customFormat="1" ht="13.5" x14ac:dyDescent="0.25"/>
    <row r="95" s="193" customFormat="1" ht="13.5" x14ac:dyDescent="0.25"/>
    <row r="96" s="193" customFormat="1" ht="13.5" x14ac:dyDescent="0.25"/>
    <row r="97" s="193" customFormat="1" ht="13.5" x14ac:dyDescent="0.25"/>
    <row r="98" s="193" customFormat="1" ht="13.5" x14ac:dyDescent="0.25"/>
    <row r="99" s="193" customFormat="1" ht="13.5" x14ac:dyDescent="0.25"/>
    <row r="100" s="193" customFormat="1" ht="13.5" x14ac:dyDescent="0.25"/>
    <row r="101" s="193" customFormat="1" ht="13.5" x14ac:dyDescent="0.25"/>
    <row r="102" s="193" customFormat="1" ht="13.5" x14ac:dyDescent="0.25"/>
    <row r="103" s="193" customFormat="1" ht="13.5" x14ac:dyDescent="0.25"/>
    <row r="104" s="193" customFormat="1" ht="13.5" x14ac:dyDescent="0.25"/>
    <row r="105" s="193" customFormat="1" ht="13.5" x14ac:dyDescent="0.25"/>
    <row r="106" s="193" customFormat="1" ht="13.5" x14ac:dyDescent="0.25"/>
    <row r="107" s="193" customFormat="1" ht="13.5" x14ac:dyDescent="0.25"/>
    <row r="108" s="193" customFormat="1" ht="13.5" x14ac:dyDescent="0.25"/>
    <row r="109" s="193" customFormat="1" ht="13.5" x14ac:dyDescent="0.25"/>
    <row r="110" s="193" customFormat="1" ht="13.5" x14ac:dyDescent="0.25"/>
    <row r="111" s="193" customFormat="1" ht="13.5" x14ac:dyDescent="0.25"/>
    <row r="112" s="193" customFormat="1" ht="13.5" x14ac:dyDescent="0.25"/>
    <row r="113" s="193" customFormat="1" ht="13.5" x14ac:dyDescent="0.25"/>
    <row r="114" s="193" customFormat="1" ht="13.5" x14ac:dyDescent="0.25"/>
    <row r="115" s="193" customFormat="1" ht="13.5" x14ac:dyDescent="0.25"/>
    <row r="116" s="193" customFormat="1" ht="13.5" x14ac:dyDescent="0.25"/>
    <row r="117" s="193" customFormat="1" ht="13.5" x14ac:dyDescent="0.25"/>
    <row r="118" s="193" customFormat="1" ht="13.5" x14ac:dyDescent="0.25"/>
    <row r="119" s="193" customFormat="1" ht="13.5" x14ac:dyDescent="0.25"/>
    <row r="120" s="193" customFormat="1" ht="13.5" x14ac:dyDescent="0.25"/>
    <row r="121" s="193" customFormat="1" ht="13.5" x14ac:dyDescent="0.25"/>
    <row r="122" s="193" customFormat="1" ht="13.5" x14ac:dyDescent="0.25"/>
    <row r="123" s="193" customFormat="1" ht="13.5" x14ac:dyDescent="0.25"/>
    <row r="124" s="193" customFormat="1" ht="13.5" x14ac:dyDescent="0.25"/>
    <row r="125" s="193" customFormat="1" ht="13.5" x14ac:dyDescent="0.25"/>
    <row r="126" s="193" customFormat="1" ht="13.5" x14ac:dyDescent="0.25"/>
    <row r="127" s="193" customFormat="1" ht="13.5" x14ac:dyDescent="0.25"/>
    <row r="128" s="193" customFormat="1" ht="13.5" x14ac:dyDescent="0.25"/>
    <row r="129" s="193" customFormat="1" ht="13.5" x14ac:dyDescent="0.25"/>
    <row r="130" s="193" customFormat="1" ht="13.5" x14ac:dyDescent="0.25"/>
    <row r="131" s="193" customFormat="1" ht="13.5" x14ac:dyDescent="0.25"/>
    <row r="132" s="193" customFormat="1" ht="13.5" x14ac:dyDescent="0.25"/>
    <row r="133" s="193" customFormat="1" ht="13.5" x14ac:dyDescent="0.25"/>
    <row r="134" s="193" customFormat="1" ht="13.5" x14ac:dyDescent="0.25"/>
    <row r="135" s="193" customFormat="1" ht="13.5" x14ac:dyDescent="0.25"/>
    <row r="136" s="193" customFormat="1" ht="13.5" x14ac:dyDescent="0.25"/>
    <row r="137" s="193" customFormat="1" ht="13.5" x14ac:dyDescent="0.25"/>
    <row r="138" s="193" customFormat="1" ht="13.5" x14ac:dyDescent="0.25"/>
    <row r="139" s="193" customFormat="1" ht="13.5" x14ac:dyDescent="0.25"/>
    <row r="140" s="193" customFormat="1" ht="13.5" x14ac:dyDescent="0.25"/>
    <row r="141" s="193" customFormat="1" ht="13.5" x14ac:dyDescent="0.25"/>
    <row r="142" s="193" customFormat="1" ht="13.5" x14ac:dyDescent="0.25"/>
    <row r="143" s="193" customFormat="1" ht="13.5" x14ac:dyDescent="0.25"/>
    <row r="144" s="193" customFormat="1" ht="13.5" x14ac:dyDescent="0.25"/>
    <row r="145" s="193" customFormat="1" ht="13.5" x14ac:dyDescent="0.25"/>
    <row r="146" s="193" customFormat="1" ht="13.5" x14ac:dyDescent="0.25"/>
    <row r="147" s="193" customFormat="1" ht="13.5" x14ac:dyDescent="0.25"/>
    <row r="148" s="193" customFormat="1" ht="13.5" x14ac:dyDescent="0.25"/>
    <row r="149" s="193" customFormat="1" ht="13.5" x14ac:dyDescent="0.25"/>
    <row r="150" s="193" customFormat="1" ht="13.5" x14ac:dyDescent="0.25"/>
    <row r="151" s="193" customFormat="1" ht="13.5" x14ac:dyDescent="0.25"/>
    <row r="152" s="193" customFormat="1" ht="13.5" x14ac:dyDescent="0.25"/>
    <row r="153" s="193" customFormat="1" ht="13.5" x14ac:dyDescent="0.25"/>
    <row r="154" s="193" customFormat="1" ht="13.5" x14ac:dyDescent="0.25"/>
    <row r="155" s="193" customFormat="1" ht="13.5" x14ac:dyDescent="0.25"/>
    <row r="156" s="193" customFormat="1" ht="13.5" x14ac:dyDescent="0.25"/>
    <row r="157" s="193" customFormat="1" ht="13.5" x14ac:dyDescent="0.25"/>
    <row r="158" s="193" customFormat="1" ht="13.5" x14ac:dyDescent="0.25"/>
    <row r="159" s="193" customFormat="1" ht="13.5" x14ac:dyDescent="0.25"/>
    <row r="160" s="193" customFormat="1" ht="13.5" x14ac:dyDescent="0.25"/>
    <row r="161" s="193" customFormat="1" ht="13.5" x14ac:dyDescent="0.25"/>
    <row r="162" s="193" customFormat="1" ht="13.5" x14ac:dyDescent="0.25"/>
    <row r="163" s="193" customFormat="1" ht="13.5" x14ac:dyDescent="0.25"/>
    <row r="164" s="193" customFormat="1" ht="13.5" x14ac:dyDescent="0.25"/>
    <row r="165" s="193" customFormat="1" ht="13.5" x14ac:dyDescent="0.25"/>
    <row r="166" s="193" customFormat="1" ht="13.5" x14ac:dyDescent="0.25"/>
    <row r="167" s="193" customFormat="1" ht="13.5" x14ac:dyDescent="0.25"/>
    <row r="168" s="193" customFormat="1" ht="13.5" x14ac:dyDescent="0.25"/>
    <row r="169" s="193" customFormat="1" ht="13.5" x14ac:dyDescent="0.25"/>
    <row r="170" s="193" customFormat="1" ht="13.5" x14ac:dyDescent="0.25"/>
    <row r="171" s="193" customFormat="1" ht="13.5" x14ac:dyDescent="0.25"/>
    <row r="172" s="193" customFormat="1" ht="13.5" x14ac:dyDescent="0.25"/>
    <row r="173" s="193" customFormat="1" ht="13.5" x14ac:dyDescent="0.25"/>
    <row r="174" s="193" customFormat="1" ht="13.5" x14ac:dyDescent="0.25"/>
    <row r="175" s="193" customFormat="1" ht="13.5" x14ac:dyDescent="0.25"/>
    <row r="176" s="193" customFormat="1" ht="13.5" x14ac:dyDescent="0.25"/>
    <row r="177" s="193" customFormat="1" ht="13.5" x14ac:dyDescent="0.25"/>
    <row r="178" s="193" customFormat="1" ht="13.5" x14ac:dyDescent="0.25"/>
    <row r="179" s="193" customFormat="1" ht="13.5" x14ac:dyDescent="0.25"/>
    <row r="180" s="193" customFormat="1" ht="13.5" x14ac:dyDescent="0.25"/>
    <row r="181" s="193" customFormat="1" ht="13.5" x14ac:dyDescent="0.25"/>
    <row r="182" s="193" customFormat="1" ht="13.5" x14ac:dyDescent="0.25"/>
    <row r="183" s="193" customFormat="1" ht="13.5" x14ac:dyDescent="0.25"/>
    <row r="184" s="193" customFormat="1" ht="13.5" x14ac:dyDescent="0.25"/>
    <row r="185" s="193" customFormat="1" ht="13.5" x14ac:dyDescent="0.25"/>
    <row r="186" s="193" customFormat="1" ht="13.5" x14ac:dyDescent="0.25"/>
    <row r="187" s="193" customFormat="1" ht="13.5" x14ac:dyDescent="0.25"/>
    <row r="188" s="193" customFormat="1" ht="13.5" x14ac:dyDescent="0.25"/>
    <row r="189" s="193" customFormat="1" ht="13.5" x14ac:dyDescent="0.25"/>
    <row r="190" s="193" customFormat="1" ht="13.5" x14ac:dyDescent="0.25"/>
    <row r="191" s="193" customFormat="1" ht="13.5" x14ac:dyDescent="0.25"/>
    <row r="192" s="193" customFormat="1" ht="13.5" x14ac:dyDescent="0.25"/>
    <row r="193" s="193" customFormat="1" ht="13.5" x14ac:dyDescent="0.25"/>
    <row r="194" s="193" customFormat="1" ht="13.5" x14ac:dyDescent="0.25"/>
    <row r="195" s="193" customFormat="1" ht="13.5" x14ac:dyDescent="0.25"/>
    <row r="196" s="193" customFormat="1" ht="13.5" x14ac:dyDescent="0.25"/>
    <row r="197" s="193" customFormat="1" ht="13.5" x14ac:dyDescent="0.25"/>
    <row r="198" s="193" customFormat="1" ht="13.5" x14ac:dyDescent="0.25"/>
    <row r="199" s="193" customFormat="1" ht="13.5" x14ac:dyDescent="0.25"/>
    <row r="200" s="193" customFormat="1" ht="13.5" x14ac:dyDescent="0.25"/>
    <row r="201" s="193" customFormat="1" ht="13.5" x14ac:dyDescent="0.25"/>
    <row r="202" s="193" customFormat="1" ht="13.5" x14ac:dyDescent="0.25"/>
    <row r="203" s="193" customFormat="1" ht="13.5" x14ac:dyDescent="0.25"/>
    <row r="204" s="193" customFormat="1" ht="13.5" x14ac:dyDescent="0.25"/>
    <row r="205" s="193" customFormat="1" ht="13.5" x14ac:dyDescent="0.25"/>
    <row r="206" s="193" customFormat="1" ht="13.5" x14ac:dyDescent="0.25"/>
    <row r="207" s="193" customFormat="1" ht="13.5" x14ac:dyDescent="0.25"/>
    <row r="208" s="193" customFormat="1" ht="13.5" x14ac:dyDescent="0.25"/>
    <row r="209" s="193" customFormat="1" ht="13.5" x14ac:dyDescent="0.25"/>
    <row r="210" s="193" customFormat="1" ht="13.5" x14ac:dyDescent="0.25"/>
    <row r="211" s="193" customFormat="1" ht="13.5" x14ac:dyDescent="0.25"/>
    <row r="212" s="193" customFormat="1" ht="13.5" x14ac:dyDescent="0.25"/>
    <row r="213" s="193" customFormat="1" ht="13.5" x14ac:dyDescent="0.25"/>
    <row r="214" s="193" customFormat="1" ht="13.5" x14ac:dyDescent="0.25"/>
    <row r="215" s="193" customFormat="1" ht="13.5" x14ac:dyDescent="0.25"/>
    <row r="216" s="193" customFormat="1" ht="13.5" x14ac:dyDescent="0.25"/>
    <row r="217" s="193" customFormat="1" ht="13.5" x14ac:dyDescent="0.25"/>
    <row r="218" s="193" customFormat="1" ht="13.5" x14ac:dyDescent="0.25"/>
    <row r="219" s="193" customFormat="1" ht="13.5" x14ac:dyDescent="0.25"/>
    <row r="220" s="193" customFormat="1" ht="13.5" x14ac:dyDescent="0.25"/>
    <row r="221" s="193" customFormat="1" ht="13.5" x14ac:dyDescent="0.25"/>
    <row r="222" s="193" customFormat="1" ht="13.5" x14ac:dyDescent="0.25"/>
    <row r="223" s="193" customFormat="1" ht="13.5" x14ac:dyDescent="0.25"/>
    <row r="224" s="193" customFormat="1" ht="13.5" x14ac:dyDescent="0.25"/>
    <row r="225" s="193" customFormat="1" ht="13.5" x14ac:dyDescent="0.25"/>
    <row r="226" s="193" customFormat="1" ht="13.5" x14ac:dyDescent="0.25"/>
    <row r="227" s="193" customFormat="1" ht="13.5" x14ac:dyDescent="0.25"/>
    <row r="228" s="193" customFormat="1" ht="13.5" x14ac:dyDescent="0.25"/>
    <row r="229" s="193" customFormat="1" ht="13.5" x14ac:dyDescent="0.25"/>
    <row r="230" s="193" customFormat="1" ht="13.5" x14ac:dyDescent="0.25"/>
    <row r="231" s="193" customFormat="1" ht="13.5" x14ac:dyDescent="0.25"/>
    <row r="232" s="193" customFormat="1" ht="13.5" x14ac:dyDescent="0.25"/>
    <row r="233" s="193" customFormat="1" ht="13.5" x14ac:dyDescent="0.25"/>
    <row r="234" s="193" customFormat="1" ht="13.5" x14ac:dyDescent="0.25"/>
    <row r="235" s="193" customFormat="1" ht="13.5" x14ac:dyDescent="0.25"/>
    <row r="236" s="193" customFormat="1" ht="13.5" x14ac:dyDescent="0.25"/>
    <row r="237" s="193" customFormat="1" ht="13.5" x14ac:dyDescent="0.25"/>
    <row r="238" s="193" customFormat="1" ht="13.5" x14ac:dyDescent="0.25"/>
    <row r="239" s="193" customFormat="1" ht="13.5" x14ac:dyDescent="0.25"/>
    <row r="240" s="193" customFormat="1" ht="13.5" x14ac:dyDescent="0.25"/>
    <row r="241" s="193" customFormat="1" ht="13.5" x14ac:dyDescent="0.25"/>
    <row r="242" s="193" customFormat="1" ht="13.5" x14ac:dyDescent="0.25"/>
    <row r="243" s="193" customFormat="1" ht="13.5" x14ac:dyDescent="0.25"/>
    <row r="244" s="193" customFormat="1" ht="13.5" x14ac:dyDescent="0.25"/>
    <row r="245" s="193" customFormat="1" ht="13.5" x14ac:dyDescent="0.25"/>
    <row r="246" s="193" customFormat="1" ht="13.5" x14ac:dyDescent="0.25"/>
    <row r="247" s="193" customFormat="1" ht="13.5" x14ac:dyDescent="0.25"/>
    <row r="248" s="193" customFormat="1" ht="13.5" x14ac:dyDescent="0.25"/>
    <row r="249" s="193" customFormat="1" ht="13.5" x14ac:dyDescent="0.25"/>
    <row r="250" s="193" customFormat="1" ht="13.5" x14ac:dyDescent="0.25"/>
    <row r="251" s="193" customFormat="1" ht="13.5" x14ac:dyDescent="0.25"/>
    <row r="252" s="193" customFormat="1" ht="13.5" x14ac:dyDescent="0.25"/>
    <row r="253" s="193" customFormat="1" ht="13.5" x14ac:dyDescent="0.25"/>
    <row r="254" s="193" customFormat="1" ht="13.5" x14ac:dyDescent="0.25"/>
    <row r="255" s="193" customFormat="1" ht="13.5" x14ac:dyDescent="0.25"/>
    <row r="256" s="193" customFormat="1" ht="13.5" x14ac:dyDescent="0.25"/>
    <row r="257" s="193" customFormat="1" ht="13.5" x14ac:dyDescent="0.25"/>
    <row r="258" s="193" customFormat="1" ht="13.5" x14ac:dyDescent="0.25"/>
    <row r="259" s="193" customFormat="1" ht="13.5" x14ac:dyDescent="0.25"/>
    <row r="260" s="193" customFormat="1" ht="13.5" x14ac:dyDescent="0.25"/>
    <row r="261" s="193" customFormat="1" ht="13.5" x14ac:dyDescent="0.25"/>
    <row r="262" s="193" customFormat="1" ht="13.5" x14ac:dyDescent="0.25"/>
    <row r="263" s="193" customFormat="1" ht="13.5" x14ac:dyDescent="0.25"/>
    <row r="264" s="193" customFormat="1" ht="13.5" x14ac:dyDescent="0.25"/>
    <row r="265" s="193" customFormat="1" ht="13.5" x14ac:dyDescent="0.25"/>
    <row r="266" s="193" customFormat="1" ht="13.5" x14ac:dyDescent="0.25"/>
    <row r="267" s="193" customFormat="1" ht="13.5" x14ac:dyDescent="0.25"/>
    <row r="268" s="193" customFormat="1" ht="13.5" x14ac:dyDescent="0.25"/>
    <row r="269" s="193" customFormat="1" ht="13.5" x14ac:dyDescent="0.25"/>
    <row r="270" s="193" customFormat="1" ht="13.5" x14ac:dyDescent="0.25"/>
    <row r="271" s="193" customFormat="1" ht="13.5" x14ac:dyDescent="0.25"/>
    <row r="272" s="193" customFormat="1" ht="13.5" x14ac:dyDescent="0.25"/>
    <row r="273" s="193" customFormat="1" ht="13.5" x14ac:dyDescent="0.25"/>
    <row r="274" s="193" customFormat="1" ht="13.5" x14ac:dyDescent="0.25"/>
    <row r="275" s="193" customFormat="1" ht="13.5" x14ac:dyDescent="0.25"/>
    <row r="276" s="193" customFormat="1" ht="13.5" x14ac:dyDescent="0.25"/>
    <row r="277" s="193" customFormat="1" ht="13.5" x14ac:dyDescent="0.25"/>
    <row r="278" s="193" customFormat="1" ht="13.5" x14ac:dyDescent="0.25"/>
    <row r="279" s="193" customFormat="1" ht="13.5" x14ac:dyDescent="0.25"/>
    <row r="280" s="193" customFormat="1" ht="13.5" x14ac:dyDescent="0.25"/>
    <row r="281" s="193" customFormat="1" ht="13.5" x14ac:dyDescent="0.25"/>
    <row r="282" s="193" customFormat="1" ht="13.5" x14ac:dyDescent="0.25"/>
    <row r="283" s="193" customFormat="1" ht="13.5" x14ac:dyDescent="0.25"/>
    <row r="284" s="193" customFormat="1" ht="13.5" x14ac:dyDescent="0.25"/>
    <row r="285" s="193" customFormat="1" ht="13.5" x14ac:dyDescent="0.25"/>
    <row r="286" s="193" customFormat="1" ht="13.5" x14ac:dyDescent="0.25"/>
    <row r="287" s="193" customFormat="1" ht="13.5" x14ac:dyDescent="0.25"/>
    <row r="288" s="193" customFormat="1" ht="13.5" x14ac:dyDescent="0.25"/>
    <row r="289" s="193" customFormat="1" ht="13.5" x14ac:dyDescent="0.25"/>
    <row r="290" s="193" customFormat="1" ht="13.5" x14ac:dyDescent="0.25"/>
    <row r="291" s="193" customFormat="1" ht="13.5" x14ac:dyDescent="0.25"/>
    <row r="292" s="193" customFormat="1" ht="13.5" x14ac:dyDescent="0.25"/>
    <row r="293" s="193" customFormat="1" ht="13.5" x14ac:dyDescent="0.25"/>
    <row r="294" s="193" customFormat="1" ht="13.5" x14ac:dyDescent="0.25"/>
    <row r="295" s="193" customFormat="1" ht="13.5" x14ac:dyDescent="0.25"/>
    <row r="296" s="193" customFormat="1" ht="13.5" x14ac:dyDescent="0.25"/>
    <row r="297" s="193" customFormat="1" ht="13.5" x14ac:dyDescent="0.25"/>
    <row r="298" s="193" customFormat="1" ht="13.5" x14ac:dyDescent="0.25"/>
    <row r="299" s="193" customFormat="1" ht="13.5" x14ac:dyDescent="0.25"/>
    <row r="300" s="193" customFormat="1" ht="13.5" x14ac:dyDescent="0.25"/>
    <row r="301" s="193" customFormat="1" ht="13.5" x14ac:dyDescent="0.25"/>
    <row r="302" s="193" customFormat="1" ht="13.5" x14ac:dyDescent="0.25"/>
    <row r="303" s="193" customFormat="1" ht="13.5" x14ac:dyDescent="0.25"/>
    <row r="304" s="193" customFormat="1" ht="13.5" x14ac:dyDescent="0.25"/>
    <row r="305" s="193" customFormat="1" ht="13.5" x14ac:dyDescent="0.25"/>
    <row r="306" s="193" customFormat="1" ht="13.5" x14ac:dyDescent="0.25"/>
    <row r="307" s="193" customFormat="1" ht="13.5" x14ac:dyDescent="0.25"/>
    <row r="308" s="193" customFormat="1" ht="13.5" x14ac:dyDescent="0.25"/>
    <row r="309" s="193" customFormat="1" ht="13.5" x14ac:dyDescent="0.25"/>
    <row r="310" s="193" customFormat="1" ht="13.5" x14ac:dyDescent="0.25"/>
    <row r="311" s="193" customFormat="1" ht="13.5" x14ac:dyDescent="0.25"/>
    <row r="312" s="193" customFormat="1" ht="13.5" x14ac:dyDescent="0.25"/>
    <row r="313" s="193" customFormat="1" ht="13.5" x14ac:dyDescent="0.25"/>
    <row r="314" s="193" customFormat="1" ht="13.5" x14ac:dyDescent="0.25"/>
    <row r="315" s="193" customFormat="1" ht="13.5" x14ac:dyDescent="0.25"/>
    <row r="316" s="193" customFormat="1" ht="13.5" x14ac:dyDescent="0.25"/>
    <row r="317" s="193" customFormat="1" ht="13.5" x14ac:dyDescent="0.25"/>
    <row r="318" s="193" customFormat="1" ht="13.5" x14ac:dyDescent="0.25"/>
    <row r="319" s="193" customFormat="1" ht="13.5" x14ac:dyDescent="0.25"/>
  </sheetData>
  <mergeCells count="5">
    <mergeCell ref="A3:B3"/>
    <mergeCell ref="C3:C4"/>
    <mergeCell ref="D3:D4"/>
    <mergeCell ref="A1:D1"/>
    <mergeCell ref="A2:D2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4E2A2220D4E7A488FBBC1CDEFC8EA7E" ma:contentTypeVersion="13" ma:contentTypeDescription="Criar um novo documento." ma:contentTypeScope="" ma:versionID="1c852bb018eaba37dce3e8191d5eaf73">
  <xsd:schema xmlns:xsd="http://www.w3.org/2001/XMLSchema" xmlns:xs="http://www.w3.org/2001/XMLSchema" xmlns:p="http://schemas.microsoft.com/office/2006/metadata/properties" xmlns:ns2="11f87315-ceb4-4d13-8f9b-c3b8d80e6142" xmlns:ns3="b619eae9-e580-43e5-ac22-1bc112a96b2d" targetNamespace="http://schemas.microsoft.com/office/2006/metadata/properties" ma:root="true" ma:fieldsID="285cda12615ddb6d3bbb45023807b261" ns2:_="" ns3:_="">
    <xsd:import namespace="11f87315-ceb4-4d13-8f9b-c3b8d80e6142"/>
    <xsd:import namespace="b619eae9-e580-43e5-ac22-1bc112a96b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f87315-ceb4-4d13-8f9b-c3b8d80e6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m" ma:readOnly="false" ma:fieldId="{5cf76f15-5ced-4ddc-b409-7134ff3c332f}" ma:taxonomyMulti="true" ma:sspId="85ed6ea8-6a9a-4bd7-b786-b0397e358c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19eae9-e580-43e5-ac22-1bc112a96b2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0abd03c-7627-4bd7-a6ed-4eb2a9852bce}" ma:internalName="TaxCatchAll" ma:showField="CatchAllData" ma:web="b619eae9-e580-43e5-ac22-1bc112a96b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f87315-ceb4-4d13-8f9b-c3b8d80e6142">
      <Terms xmlns="http://schemas.microsoft.com/office/infopath/2007/PartnerControls"/>
    </lcf76f155ced4ddcb4097134ff3c332f>
    <TaxCatchAll xmlns="b619eae9-e580-43e5-ac22-1bc112a96b2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3AB8EA-719A-494B-B44C-BBD31C429D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f87315-ceb4-4d13-8f9b-c3b8d80e6142"/>
    <ds:schemaRef ds:uri="b619eae9-e580-43e5-ac22-1bc112a96b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09AED0-1A97-40E9-9F44-8FCFCAC07077}">
  <ds:schemaRefs>
    <ds:schemaRef ds:uri="http://schemas.microsoft.com/office/2006/metadata/properties"/>
    <ds:schemaRef ds:uri="http://schemas.microsoft.com/office/infopath/2007/PartnerControls"/>
    <ds:schemaRef ds:uri="11f87315-ceb4-4d13-8f9b-c3b8d80e6142"/>
    <ds:schemaRef ds:uri="b619eae9-e580-43e5-ac22-1bc112a96b2d"/>
  </ds:schemaRefs>
</ds:datastoreItem>
</file>

<file path=customXml/itemProps3.xml><?xml version="1.0" encoding="utf-8"?>
<ds:datastoreItem xmlns:ds="http://schemas.openxmlformats.org/officeDocument/2006/customXml" ds:itemID="{C61680F0-B8F8-43F4-BCC7-9E9F85EC0C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19</vt:i4>
      </vt:variant>
      <vt:variant>
        <vt:lpstr>Intervalos com Nome</vt:lpstr>
      </vt:variant>
      <vt:variant>
        <vt:i4>7</vt:i4>
      </vt:variant>
    </vt:vector>
  </HeadingPairs>
  <TitlesOfParts>
    <vt:vector size="26" baseType="lpstr">
      <vt:lpstr>TaxaMod</vt:lpstr>
      <vt:lpstr>A-Análises prop09</vt:lpstr>
      <vt:lpstr>Rosto</vt:lpstr>
      <vt:lpstr>A-Análises Clínicas (Nova)</vt:lpstr>
      <vt:lpstr>B-Anatomia</vt:lpstr>
      <vt:lpstr>C-Cardiologia (Nova)</vt:lpstr>
      <vt:lpstr>D-M Nuclear</vt:lpstr>
      <vt:lpstr>E-EEG</vt:lpstr>
      <vt:lpstr>F-Gastrenterologia</vt:lpstr>
      <vt:lpstr>G-MFR</vt:lpstr>
      <vt:lpstr>H-ORL</vt:lpstr>
      <vt:lpstr>J-Urologia</vt:lpstr>
      <vt:lpstr>I-Pneumologia-Imunoalergologia</vt:lpstr>
      <vt:lpstr>L-Neurofisiologia</vt:lpstr>
      <vt:lpstr>Sheet1</vt:lpstr>
      <vt:lpstr>M-Radiologia (Nova)</vt:lpstr>
      <vt:lpstr>N-Consultas</vt:lpstr>
      <vt:lpstr>O-Psicologia</vt:lpstr>
      <vt:lpstr>Z-ExamesComuns</vt:lpstr>
      <vt:lpstr>'A-Análises prop09'!Área_de_Impressão</vt:lpstr>
      <vt:lpstr>'A-Análises prop09'!Títulos_de_Impressão</vt:lpstr>
      <vt:lpstr>'G-MFR'!Títulos_de_Impressão</vt:lpstr>
      <vt:lpstr>'H-ORL'!Títulos_de_Impressão</vt:lpstr>
      <vt:lpstr>'I-Pneumologia-Imunoalergologia'!Títulos_de_Impressão</vt:lpstr>
      <vt:lpstr>'N-Consultas'!Títulos_de_Impressão</vt:lpstr>
      <vt:lpstr>'Z-ExamesComuns'!Títulos_de_Impressão</vt:lpstr>
    </vt:vector>
  </TitlesOfParts>
  <Manager/>
  <Company>IGIF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lprates</dc:creator>
  <cp:keywords/>
  <dc:description/>
  <cp:lastModifiedBy>Nuno Miguel Veiga</cp:lastModifiedBy>
  <cp:revision/>
  <dcterms:created xsi:type="dcterms:W3CDTF">2007-06-05T10:41:40Z</dcterms:created>
  <dcterms:modified xsi:type="dcterms:W3CDTF">2026-04-28T15:17:16Z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0x01010094E2A2220D4E7A488FBBC1CDEFC8EA7E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SIP_Label_e60328b2-cbbd-405e-b01b-32c4759a0ed0_Enabled">
    <vt:lpwstr>true</vt:lpwstr>
  </property>
  <property fmtid="{D5CDD505-2E9C-101B-9397-08002B2CF9AE}" pid="8" name="MSIP_Label_e60328b2-cbbd-405e-b01b-32c4759a0ed0_SetDate">
    <vt:lpwstr>2026-02-03T15:41:40Z</vt:lpwstr>
  </property>
  <property fmtid="{D5CDD505-2E9C-101B-9397-08002B2CF9AE}" pid="9" name="MSIP_Label_e60328b2-cbbd-405e-b01b-32c4759a0ed0_Method">
    <vt:lpwstr>Standard</vt:lpwstr>
  </property>
  <property fmtid="{D5CDD505-2E9C-101B-9397-08002B2CF9AE}" pid="10" name="MSIP_Label_e60328b2-cbbd-405e-b01b-32c4759a0ed0_Name">
    <vt:lpwstr>Public Label</vt:lpwstr>
  </property>
  <property fmtid="{D5CDD505-2E9C-101B-9397-08002B2CF9AE}" pid="11" name="MSIP_Label_e60328b2-cbbd-405e-b01b-32c4759a0ed0_SiteId">
    <vt:lpwstr>22c84608-f01d-46c5-8024-63cc962e5f51</vt:lpwstr>
  </property>
  <property fmtid="{D5CDD505-2E9C-101B-9397-08002B2CF9AE}" pid="12" name="MSIP_Label_e60328b2-cbbd-405e-b01b-32c4759a0ed0_ActionId">
    <vt:lpwstr>dec1f647-6b9b-48b0-b514-45e0d1d6281c</vt:lpwstr>
  </property>
  <property fmtid="{D5CDD505-2E9C-101B-9397-08002B2CF9AE}" pid="13" name="MSIP_Label_e60328b2-cbbd-405e-b01b-32c4759a0ed0_ContentBits">
    <vt:lpwstr>0</vt:lpwstr>
  </property>
  <property fmtid="{D5CDD505-2E9C-101B-9397-08002B2CF9AE}" pid="14" name="MSIP_Label_e60328b2-cbbd-405e-b01b-32c4759a0ed0_Tag">
    <vt:lpwstr>10, 3, 0, 1</vt:lpwstr>
  </property>
</Properties>
</file>